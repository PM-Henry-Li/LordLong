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hidePivotFieldList="1"/>
  <mc:AlternateContent xmlns:mc="http://schemas.openxmlformats.org/markup-compatibility/2006">
    <mc:Choice Requires="x15">
      <x15ac:absPath xmlns:x15ac="http://schemas.microsoft.com/office/spreadsheetml/2010/11/ac" url="/Users/xdfkoo/my_job/绩效管理/FY26Q3/"/>
    </mc:Choice>
  </mc:AlternateContent>
  <xr:revisionPtr revIDLastSave="0" documentId="13_ncr:1_{169D018D-77E7-7544-B0BD-9B45E1747880}" xr6:coauthVersionLast="47" xr6:coauthVersionMax="47" xr10:uidLastSave="{00000000-0000-0000-0000-000000000000}"/>
  <bookViews>
    <workbookView xWindow="-5680" yWindow="-21100" windowWidth="38400" windowHeight="20060" xr2:uid="{752BAC88-3D22-6345-9E5D-6A586CA68B77}"/>
  </bookViews>
  <sheets>
    <sheet name="汇总" sheetId="1" r:id="rId1"/>
    <sheet name="数据透视表" sheetId="2" r:id="rId2"/>
    <sheet name="OHT执行（30%）" sheetId="3" r:id="rId3"/>
    <sheet name="OHT-车厢数据" sheetId="4" r:id="rId4"/>
    <sheet name="OHT-站台数据" sheetId="9" r:id="rId5"/>
    <sheet name="保障-(10%)" sheetId="10" r:id="rId6"/>
    <sheet name="影响力-(10%)" sheetId="11" r:id="rId7"/>
    <sheet name="努力度(10%)" sheetId="12" r:id="rId8"/>
    <sheet name="系统价值分（5%）" sheetId="13" r:id="rId9"/>
  </sheets>
  <definedNames>
    <definedName name="_xlnm._FilterDatabase" localSheetId="0">汇总!$J:$J</definedName>
  </definedNames>
  <calcPr calcId="191029"/>
  <pivotCaches>
    <pivotCache cacheId="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3" i="13" l="1"/>
  <c r="N65" i="13" s="1"/>
  <c r="D64" i="13" s="1"/>
  <c r="H47" i="1" s="1"/>
  <c r="D3" i="13"/>
  <c r="D4" i="13"/>
  <c r="D5" i="13"/>
  <c r="D6" i="13"/>
  <c r="D7" i="13"/>
  <c r="H31" i="1" s="1"/>
  <c r="D8" i="13"/>
  <c r="H10" i="1" s="1"/>
  <c r="D9" i="13"/>
  <c r="D10" i="13"/>
  <c r="H21" i="1" s="1"/>
  <c r="D11" i="13"/>
  <c r="D12" i="13"/>
  <c r="D13" i="13"/>
  <c r="H24" i="1" s="1"/>
  <c r="D14" i="13"/>
  <c r="H38" i="1" s="1"/>
  <c r="D15" i="13"/>
  <c r="H35" i="1" s="1"/>
  <c r="D16" i="13"/>
  <c r="D17" i="13"/>
  <c r="D18" i="13"/>
  <c r="H36" i="1" s="1"/>
  <c r="D19" i="13"/>
  <c r="D20" i="13"/>
  <c r="D21" i="13"/>
  <c r="D22" i="13"/>
  <c r="H55" i="1" s="1"/>
  <c r="D23" i="13"/>
  <c r="D24" i="13"/>
  <c r="H14" i="1" s="1"/>
  <c r="D25" i="13"/>
  <c r="D26" i="13"/>
  <c r="H20" i="1" s="1"/>
  <c r="D27" i="13"/>
  <c r="D28" i="13"/>
  <c r="D29" i="13"/>
  <c r="D30" i="13"/>
  <c r="H40" i="1" s="1"/>
  <c r="D31" i="13"/>
  <c r="H6" i="1" s="1"/>
  <c r="D32" i="13"/>
  <c r="H52" i="1" s="1"/>
  <c r="D33" i="13"/>
  <c r="D34" i="13"/>
  <c r="H50" i="1" s="1"/>
  <c r="D35" i="13"/>
  <c r="D36" i="13"/>
  <c r="D37" i="13"/>
  <c r="H43" i="1" s="1"/>
  <c r="D38" i="13"/>
  <c r="D39" i="13"/>
  <c r="D40" i="13"/>
  <c r="H2" i="1" s="1"/>
  <c r="D41" i="13"/>
  <c r="D42" i="13"/>
  <c r="H33" i="1" s="1"/>
  <c r="D43" i="13"/>
  <c r="D44" i="13"/>
  <c r="H4" i="1" s="1"/>
  <c r="D45" i="13"/>
  <c r="D46" i="13"/>
  <c r="D47" i="13"/>
  <c r="H8" i="1" s="1"/>
  <c r="D48" i="13"/>
  <c r="H29" i="1" s="1"/>
  <c r="D49" i="13"/>
  <c r="D50" i="13"/>
  <c r="H19" i="1" s="1"/>
  <c r="D51" i="13"/>
  <c r="D52" i="13"/>
  <c r="H17" i="1" s="1"/>
  <c r="D53" i="13"/>
  <c r="H42" i="1" s="1"/>
  <c r="D54" i="13"/>
  <c r="D55" i="13"/>
  <c r="H27" i="1" s="1"/>
  <c r="D56" i="13"/>
  <c r="H57" i="1" s="1"/>
  <c r="D57" i="13"/>
  <c r="D58" i="13"/>
  <c r="H56" i="1" s="1"/>
  <c r="D59" i="13"/>
  <c r="H44" i="1" s="1"/>
  <c r="D60" i="13"/>
  <c r="H22" i="1" s="1"/>
  <c r="D61" i="13"/>
  <c r="D62" i="13"/>
  <c r="H12" i="1" s="1"/>
  <c r="D63" i="13"/>
  <c r="H46" i="1" s="1"/>
  <c r="D2" i="13"/>
  <c r="H34" i="1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H5" i="1"/>
  <c r="H13" i="1"/>
  <c r="H54" i="1"/>
  <c r="H41" i="1"/>
  <c r="H9" i="1"/>
  <c r="H16" i="1"/>
  <c r="H51" i="1"/>
  <c r="H49" i="1"/>
  <c r="D47" i="1"/>
  <c r="E47" i="1"/>
  <c r="F47" i="1"/>
  <c r="G47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2" i="3"/>
  <c r="B47" i="1"/>
  <c r="K47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2" i="3"/>
  <c r="C3" i="4"/>
  <c r="C4" i="4"/>
  <c r="C5" i="4"/>
  <c r="C6" i="4"/>
  <c r="C7" i="4"/>
  <c r="C8" i="4"/>
  <c r="C9" i="4"/>
  <c r="E9" i="4" s="1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E25" i="4" s="1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E47" i="4" s="1"/>
  <c r="C48" i="4"/>
  <c r="C49" i="4"/>
  <c r="C50" i="4"/>
  <c r="C51" i="4"/>
  <c r="C52" i="4"/>
  <c r="C53" i="4"/>
  <c r="C54" i="4"/>
  <c r="C55" i="4"/>
  <c r="C56" i="4"/>
  <c r="C2" i="4"/>
  <c r="E56" i="4"/>
  <c r="E7" i="4"/>
  <c r="G55" i="1"/>
  <c r="K55" i="1"/>
  <c r="F55" i="1"/>
  <c r="E55" i="1"/>
  <c r="B55" i="1"/>
  <c r="C63" i="12"/>
  <c r="H11" i="1"/>
  <c r="C62" i="12"/>
  <c r="C61" i="12"/>
  <c r="G57" i="1" s="1"/>
  <c r="C60" i="12"/>
  <c r="C59" i="12"/>
  <c r="C58" i="12"/>
  <c r="C57" i="12"/>
  <c r="C56" i="12"/>
  <c r="C55" i="12"/>
  <c r="G48" i="1" s="1"/>
  <c r="C54" i="12"/>
  <c r="C53" i="12"/>
  <c r="G31" i="1" s="1"/>
  <c r="C52" i="12"/>
  <c r="C51" i="12"/>
  <c r="C50" i="12"/>
  <c r="C49" i="12"/>
  <c r="C48" i="12"/>
  <c r="C47" i="12"/>
  <c r="C46" i="12"/>
  <c r="G38" i="1" s="1"/>
  <c r="C45" i="12"/>
  <c r="G39" i="1" s="1"/>
  <c r="C44" i="12"/>
  <c r="C43" i="12"/>
  <c r="C42" i="12"/>
  <c r="C41" i="12"/>
  <c r="C40" i="12"/>
  <c r="C39" i="12"/>
  <c r="C38" i="12"/>
  <c r="C37" i="12"/>
  <c r="G44" i="1" s="1"/>
  <c r="C36" i="12"/>
  <c r="C35" i="12"/>
  <c r="C34" i="12"/>
  <c r="C33" i="12"/>
  <c r="C32" i="12"/>
  <c r="C31" i="12"/>
  <c r="G19" i="1" s="1"/>
  <c r="C30" i="12"/>
  <c r="C29" i="12"/>
  <c r="G51" i="1" s="1"/>
  <c r="C28" i="12"/>
  <c r="C27" i="12"/>
  <c r="C26" i="12"/>
  <c r="C25" i="12"/>
  <c r="C24" i="12"/>
  <c r="G10" i="1" s="1"/>
  <c r="C23" i="12"/>
  <c r="G29" i="1" s="1"/>
  <c r="C22" i="12"/>
  <c r="G12" i="1" s="1"/>
  <c r="C21" i="12"/>
  <c r="G24" i="1" s="1"/>
  <c r="C20" i="12"/>
  <c r="C19" i="12"/>
  <c r="C18" i="12"/>
  <c r="C17" i="12"/>
  <c r="C16" i="12"/>
  <c r="C15" i="12"/>
  <c r="G14" i="1" s="1"/>
  <c r="C14" i="12"/>
  <c r="G16" i="1" s="1"/>
  <c r="C13" i="12"/>
  <c r="G2" i="1" s="1"/>
  <c r="C12" i="12"/>
  <c r="C11" i="12"/>
  <c r="C10" i="12"/>
  <c r="C9" i="12"/>
  <c r="C8" i="12"/>
  <c r="C7" i="12"/>
  <c r="C6" i="12"/>
  <c r="G11" i="1" s="1"/>
  <c r="C5" i="12"/>
  <c r="G25" i="1" s="1"/>
  <c r="C4" i="12"/>
  <c r="C3" i="12"/>
  <c r="C2" i="12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H3" i="11"/>
  <c r="E3" i="11"/>
  <c r="H2" i="11"/>
  <c r="E2" i="11"/>
  <c r="K53" i="1"/>
  <c r="H53" i="1"/>
  <c r="G53" i="1"/>
  <c r="F53" i="1"/>
  <c r="E53" i="1"/>
  <c r="B53" i="1"/>
  <c r="K57" i="1"/>
  <c r="F57" i="1"/>
  <c r="E57" i="1"/>
  <c r="B57" i="1"/>
  <c r="K48" i="1"/>
  <c r="H48" i="1"/>
  <c r="F48" i="1"/>
  <c r="E48" i="1"/>
  <c r="B48" i="1"/>
  <c r="K51" i="1"/>
  <c r="F51" i="1"/>
  <c r="E51" i="1"/>
  <c r="B51" i="1"/>
  <c r="K45" i="1"/>
  <c r="H45" i="1"/>
  <c r="G45" i="1"/>
  <c r="F45" i="1"/>
  <c r="E45" i="1"/>
  <c r="B45" i="1"/>
  <c r="K52" i="1"/>
  <c r="G52" i="1"/>
  <c r="F52" i="1"/>
  <c r="E52" i="1"/>
  <c r="B52" i="1"/>
  <c r="K23" i="1"/>
  <c r="H23" i="1"/>
  <c r="G23" i="1"/>
  <c r="F23" i="1"/>
  <c r="E23" i="1"/>
  <c r="B23" i="1"/>
  <c r="K46" i="1"/>
  <c r="G46" i="1"/>
  <c r="F46" i="1"/>
  <c r="E46" i="1"/>
  <c r="B46" i="1"/>
  <c r="K56" i="1"/>
  <c r="G56" i="1"/>
  <c r="F56" i="1"/>
  <c r="E56" i="1"/>
  <c r="B56" i="1"/>
  <c r="K36" i="1"/>
  <c r="G36" i="1"/>
  <c r="F36" i="1"/>
  <c r="E36" i="1"/>
  <c r="B36" i="1"/>
  <c r="K27" i="1"/>
  <c r="G27" i="1"/>
  <c r="F27" i="1"/>
  <c r="E27" i="1"/>
  <c r="B27" i="1"/>
  <c r="K37" i="1"/>
  <c r="H37" i="1"/>
  <c r="G37" i="1"/>
  <c r="F37" i="1"/>
  <c r="E37" i="1"/>
  <c r="B37" i="1"/>
  <c r="K26" i="1"/>
  <c r="H26" i="1"/>
  <c r="G26" i="1"/>
  <c r="F26" i="1"/>
  <c r="E26" i="1"/>
  <c r="B26" i="1"/>
  <c r="K54" i="1"/>
  <c r="G54" i="1"/>
  <c r="F54" i="1"/>
  <c r="E54" i="1"/>
  <c r="B54" i="1"/>
  <c r="K12" i="1"/>
  <c r="F12" i="1"/>
  <c r="E12" i="1"/>
  <c r="B12" i="1"/>
  <c r="K42" i="1"/>
  <c r="G42" i="1"/>
  <c r="F42" i="1"/>
  <c r="E42" i="1"/>
  <c r="B42" i="1"/>
  <c r="K28" i="1"/>
  <c r="H28" i="1"/>
  <c r="G28" i="1"/>
  <c r="F28" i="1"/>
  <c r="E28" i="1"/>
  <c r="B28" i="1"/>
  <c r="K35" i="1"/>
  <c r="G35" i="1"/>
  <c r="F35" i="1"/>
  <c r="E35" i="1"/>
  <c r="B35" i="1"/>
  <c r="K38" i="1"/>
  <c r="F38" i="1"/>
  <c r="E38" i="1"/>
  <c r="B38" i="1"/>
  <c r="K49" i="1"/>
  <c r="G49" i="1"/>
  <c r="F49" i="1"/>
  <c r="E49" i="1"/>
  <c r="B49" i="1"/>
  <c r="K40" i="1"/>
  <c r="G40" i="1"/>
  <c r="F40" i="1"/>
  <c r="E40" i="1"/>
  <c r="B40" i="1"/>
  <c r="K39" i="1"/>
  <c r="H39" i="1"/>
  <c r="F39" i="1"/>
  <c r="E39" i="1"/>
  <c r="B39" i="1"/>
  <c r="K34" i="1"/>
  <c r="G34" i="1"/>
  <c r="F34" i="1"/>
  <c r="E34" i="1"/>
  <c r="B34" i="1"/>
  <c r="K43" i="1"/>
  <c r="G43" i="1"/>
  <c r="F43" i="1"/>
  <c r="E43" i="1"/>
  <c r="B43" i="1"/>
  <c r="K18" i="1"/>
  <c r="H18" i="1"/>
  <c r="G18" i="1"/>
  <c r="F18" i="1"/>
  <c r="E18" i="1"/>
  <c r="B18" i="1"/>
  <c r="K4" i="1"/>
  <c r="G4" i="1"/>
  <c r="F4" i="1"/>
  <c r="E4" i="1"/>
  <c r="B4" i="1"/>
  <c r="K10" i="1"/>
  <c r="F10" i="1"/>
  <c r="E10" i="1"/>
  <c r="B10" i="1"/>
  <c r="K16" i="1"/>
  <c r="F16" i="1"/>
  <c r="E16" i="1"/>
  <c r="B16" i="1"/>
  <c r="K22" i="1"/>
  <c r="G22" i="1"/>
  <c r="F22" i="1"/>
  <c r="E22" i="1"/>
  <c r="B22" i="1"/>
  <c r="K44" i="1"/>
  <c r="F44" i="1"/>
  <c r="E44" i="1"/>
  <c r="B44" i="1"/>
  <c r="K19" i="1"/>
  <c r="F19" i="1"/>
  <c r="E19" i="1"/>
  <c r="B19" i="1"/>
  <c r="K20" i="1"/>
  <c r="G20" i="1"/>
  <c r="F20" i="1"/>
  <c r="E20" i="1"/>
  <c r="B20" i="1"/>
  <c r="K30" i="1"/>
  <c r="H30" i="1"/>
  <c r="G30" i="1"/>
  <c r="F30" i="1"/>
  <c r="E30" i="1"/>
  <c r="B30" i="1"/>
  <c r="K31" i="1"/>
  <c r="F31" i="1"/>
  <c r="E31" i="1"/>
  <c r="B31" i="1"/>
  <c r="K32" i="1"/>
  <c r="H32" i="1"/>
  <c r="G32" i="1"/>
  <c r="F32" i="1"/>
  <c r="E32" i="1"/>
  <c r="B32" i="1"/>
  <c r="K41" i="1"/>
  <c r="G41" i="1"/>
  <c r="F41" i="1"/>
  <c r="E41" i="1"/>
  <c r="B41" i="1"/>
  <c r="K50" i="1"/>
  <c r="G50" i="1"/>
  <c r="F50" i="1"/>
  <c r="E50" i="1"/>
  <c r="B50" i="1"/>
  <c r="K24" i="1"/>
  <c r="F24" i="1"/>
  <c r="E24" i="1"/>
  <c r="B24" i="1"/>
  <c r="K8" i="1"/>
  <c r="G8" i="1"/>
  <c r="F8" i="1"/>
  <c r="E8" i="1"/>
  <c r="B8" i="1"/>
  <c r="K9" i="1"/>
  <c r="G9" i="1"/>
  <c r="F9" i="1"/>
  <c r="E9" i="1"/>
  <c r="B9" i="1"/>
  <c r="K17" i="1"/>
  <c r="G17" i="1"/>
  <c r="F17" i="1"/>
  <c r="E17" i="1"/>
  <c r="B17" i="1"/>
  <c r="K3" i="1"/>
  <c r="H3" i="1"/>
  <c r="G3" i="1"/>
  <c r="F3" i="1"/>
  <c r="E3" i="1"/>
  <c r="B3" i="1"/>
  <c r="K25" i="1"/>
  <c r="H25" i="1"/>
  <c r="F25" i="1"/>
  <c r="E25" i="1"/>
  <c r="B25" i="1"/>
  <c r="K13" i="1"/>
  <c r="G13" i="1"/>
  <c r="F13" i="1"/>
  <c r="E13" i="1"/>
  <c r="B13" i="1"/>
  <c r="K29" i="1"/>
  <c r="F29" i="1"/>
  <c r="E29" i="1"/>
  <c r="B29" i="1"/>
  <c r="K33" i="1"/>
  <c r="G33" i="1"/>
  <c r="F33" i="1"/>
  <c r="E33" i="1"/>
  <c r="B33" i="1"/>
  <c r="K15" i="1"/>
  <c r="H15" i="1"/>
  <c r="G15" i="1"/>
  <c r="F15" i="1"/>
  <c r="E15" i="1"/>
  <c r="B15" i="1"/>
  <c r="K14" i="1"/>
  <c r="F14" i="1"/>
  <c r="E14" i="1"/>
  <c r="B14" i="1"/>
  <c r="K7" i="1"/>
  <c r="H7" i="1"/>
  <c r="G7" i="1"/>
  <c r="F7" i="1"/>
  <c r="E7" i="1"/>
  <c r="B7" i="1"/>
  <c r="K21" i="1"/>
  <c r="G21" i="1"/>
  <c r="F21" i="1"/>
  <c r="E21" i="1"/>
  <c r="B21" i="1"/>
  <c r="K6" i="1"/>
  <c r="G6" i="1"/>
  <c r="F6" i="1"/>
  <c r="E6" i="1"/>
  <c r="B6" i="1"/>
  <c r="K5" i="1"/>
  <c r="G5" i="1"/>
  <c r="F5" i="1"/>
  <c r="E5" i="1"/>
  <c r="B5" i="1"/>
  <c r="K2" i="1"/>
  <c r="F2" i="1"/>
  <c r="E2" i="1"/>
  <c r="B2" i="1"/>
  <c r="K11" i="1"/>
  <c r="F11" i="1"/>
  <c r="E11" i="1"/>
  <c r="B11" i="1"/>
  <c r="I47" i="1" l="1"/>
  <c r="E41" i="4"/>
  <c r="E15" i="4"/>
  <c r="E31" i="4"/>
  <c r="E39" i="4"/>
  <c r="E13" i="4"/>
  <c r="E29" i="4"/>
  <c r="E45" i="4"/>
  <c r="E27" i="4"/>
  <c r="E23" i="4"/>
  <c r="E11" i="4"/>
  <c r="E43" i="4"/>
  <c r="E5" i="4"/>
  <c r="E21" i="4"/>
  <c r="E37" i="4"/>
  <c r="E53" i="4"/>
  <c r="E55" i="4"/>
  <c r="E3" i="4"/>
  <c r="E19" i="4"/>
  <c r="E35" i="4"/>
  <c r="E51" i="4"/>
  <c r="E17" i="4"/>
  <c r="E33" i="4"/>
  <c r="E49" i="4"/>
  <c r="L3" i="3" a="1"/>
  <c r="L3" i="3" s="1"/>
  <c r="L10" i="3" a="1"/>
  <c r="L10" i="3" s="1"/>
  <c r="L2" i="3" s="1"/>
  <c r="L8" i="3"/>
  <c r="L9" i="3"/>
  <c r="E2" i="4"/>
  <c r="E4" i="4"/>
  <c r="E6" i="4"/>
  <c r="E8" i="4"/>
  <c r="E10" i="4"/>
  <c r="E12" i="4"/>
  <c r="E14" i="4"/>
  <c r="E16" i="4"/>
  <c r="E18" i="4"/>
  <c r="E20" i="4"/>
  <c r="E22" i="4"/>
  <c r="E24" i="4"/>
  <c r="E26" i="4"/>
  <c r="E28" i="4"/>
  <c r="E30" i="4"/>
  <c r="E32" i="4"/>
  <c r="E34" i="4"/>
  <c r="E36" i="4"/>
  <c r="E38" i="4"/>
  <c r="E40" i="4"/>
  <c r="E42" i="4"/>
  <c r="E44" i="4"/>
  <c r="E46" i="4"/>
  <c r="E48" i="4"/>
  <c r="E50" i="4"/>
  <c r="E52" i="4"/>
  <c r="E54" i="4"/>
  <c r="L5" i="3" l="1"/>
  <c r="E55" i="3" s="1"/>
  <c r="L4" i="3"/>
  <c r="E4" i="3" s="1"/>
  <c r="E18" i="3"/>
  <c r="E50" i="3"/>
  <c r="E14" i="3"/>
  <c r="E38" i="3"/>
  <c r="E46" i="3"/>
  <c r="E39" i="3"/>
  <c r="E47" i="3"/>
  <c r="E40" i="3"/>
  <c r="E24" i="3"/>
  <c r="E27" i="3"/>
  <c r="E56" i="3"/>
  <c r="E31" i="3"/>
  <c r="E19" i="3"/>
  <c r="E54" i="3"/>
  <c r="E52" i="3"/>
  <c r="E51" i="3"/>
  <c r="E41" i="3"/>
  <c r="E57" i="3"/>
  <c r="E45" i="3"/>
  <c r="E53" i="3"/>
  <c r="E35" i="3"/>
  <c r="E17" i="3"/>
  <c r="E20" i="3" l="1"/>
  <c r="E48" i="3"/>
  <c r="E37" i="3"/>
  <c r="E28" i="3"/>
  <c r="E25" i="3"/>
  <c r="E13" i="3"/>
  <c r="E7" i="3"/>
  <c r="E10" i="3"/>
  <c r="E3" i="3"/>
  <c r="E33" i="3"/>
  <c r="E26" i="3"/>
  <c r="E49" i="3"/>
  <c r="E21" i="3"/>
  <c r="E36" i="3"/>
  <c r="E29" i="3"/>
  <c r="E32" i="3"/>
  <c r="E22" i="3"/>
  <c r="E2" i="3"/>
  <c r="E44" i="3"/>
  <c r="E9" i="3"/>
  <c r="E5" i="3"/>
  <c r="K3" i="3"/>
  <c r="K9" i="3"/>
  <c r="K8" i="3"/>
  <c r="K10" i="3" a="1"/>
  <c r="K10" i="3" s="1"/>
  <c r="E6" i="3"/>
  <c r="E11" i="3"/>
  <c r="E12" i="3"/>
  <c r="E43" i="3"/>
  <c r="E34" i="3"/>
  <c r="E42" i="3"/>
  <c r="E15" i="3"/>
  <c r="E16" i="3"/>
  <c r="E30" i="3"/>
  <c r="E23" i="3"/>
  <c r="E8" i="3"/>
  <c r="K2" i="3" l="1"/>
  <c r="K5" i="3" l="1"/>
  <c r="K4" i="3"/>
  <c r="D57" i="3" l="1"/>
  <c r="F57" i="3" s="1"/>
  <c r="G57" i="3" s="1"/>
  <c r="D43" i="3"/>
  <c r="F43" i="3" s="1"/>
  <c r="G43" i="3" s="1"/>
  <c r="D34" i="1" s="1"/>
  <c r="I34" i="1" s="1"/>
  <c r="D9" i="3"/>
  <c r="F9" i="3" s="1"/>
  <c r="G9" i="3" s="1"/>
  <c r="D9" i="1" s="1"/>
  <c r="I9" i="1" s="1"/>
  <c r="D45" i="3"/>
  <c r="F45" i="3" s="1"/>
  <c r="G45" i="3" s="1"/>
  <c r="D46" i="1" s="1"/>
  <c r="I46" i="1" s="1"/>
  <c r="D21" i="3"/>
  <c r="F21" i="3" s="1"/>
  <c r="G21" i="3" s="1"/>
  <c r="D30" i="1" s="1"/>
  <c r="I30" i="1" s="1"/>
  <c r="D17" i="3"/>
  <c r="F17" i="3" s="1"/>
  <c r="G17" i="3" s="1"/>
  <c r="D13" i="1" s="1"/>
  <c r="I13" i="1" s="1"/>
  <c r="D14" i="3"/>
  <c r="F14" i="3" s="1"/>
  <c r="G14" i="3" s="1"/>
  <c r="D41" i="1" s="1"/>
  <c r="I41" i="1" s="1"/>
  <c r="D28" i="3"/>
  <c r="F28" i="3" s="1"/>
  <c r="G28" i="3" s="1"/>
  <c r="D20" i="1" s="1"/>
  <c r="I20" i="1" s="1"/>
  <c r="D20" i="3"/>
  <c r="F20" i="3" s="1"/>
  <c r="G20" i="3" s="1"/>
  <c r="D14" i="1" s="1"/>
  <c r="I14" i="1" s="1"/>
  <c r="D22" i="3"/>
  <c r="F22" i="3" s="1"/>
  <c r="G22" i="3" s="1"/>
  <c r="D44" i="1" s="1"/>
  <c r="I44" i="1" s="1"/>
  <c r="D7" i="3"/>
  <c r="F7" i="3" s="1"/>
  <c r="G7" i="3" s="1"/>
  <c r="D2" i="1" s="1"/>
  <c r="I2" i="1" s="1"/>
  <c r="D18" i="3"/>
  <c r="F18" i="3" s="1"/>
  <c r="G18" i="3" s="1"/>
  <c r="D6" i="1" s="1"/>
  <c r="I6" i="1" s="1"/>
  <c r="D13" i="3"/>
  <c r="F13" i="3" s="1"/>
  <c r="G13" i="3" s="1"/>
  <c r="D17" i="1" s="1"/>
  <c r="I17" i="1" s="1"/>
  <c r="D38" i="3"/>
  <c r="F38" i="3" s="1"/>
  <c r="G38" i="3" s="1"/>
  <c r="D28" i="1" s="1"/>
  <c r="I28" i="1" s="1"/>
  <c r="D42" i="3"/>
  <c r="F42" i="3" s="1"/>
  <c r="G42" i="3" s="1"/>
  <c r="D35" i="1" s="1"/>
  <c r="I35" i="1" s="1"/>
  <c r="D11" i="3"/>
  <c r="F11" i="3" s="1"/>
  <c r="G11" i="3" s="1"/>
  <c r="D24" i="1" s="1"/>
  <c r="I24" i="1" s="1"/>
  <c r="D26" i="3"/>
  <c r="F26" i="3" s="1"/>
  <c r="G26" i="3" s="1"/>
  <c r="D27" i="1" s="1"/>
  <c r="I27" i="1" s="1"/>
  <c r="D35" i="3"/>
  <c r="F35" i="3" s="1"/>
  <c r="G35" i="3" s="1"/>
  <c r="D43" i="1" s="1"/>
  <c r="I43" i="1" s="1"/>
  <c r="D32" i="3"/>
  <c r="F32" i="3" s="1"/>
  <c r="G32" i="3" s="1"/>
  <c r="D4" i="1" s="1"/>
  <c r="I4" i="1" s="1"/>
  <c r="D50" i="3"/>
  <c r="F50" i="3" s="1"/>
  <c r="G50" i="3" s="1"/>
  <c r="D48" i="1" s="1"/>
  <c r="I48" i="1" s="1"/>
  <c r="D15" i="3"/>
  <c r="F15" i="3" s="1"/>
  <c r="G15" i="3" s="1"/>
  <c r="D31" i="1" s="1"/>
  <c r="I31" i="1" s="1"/>
  <c r="D33" i="3"/>
  <c r="F33" i="3" s="1"/>
  <c r="G33" i="3" s="1"/>
  <c r="D36" i="1" s="1"/>
  <c r="I36" i="1" s="1"/>
  <c r="D24" i="3"/>
  <c r="F24" i="3" s="1"/>
  <c r="G24" i="3" s="1"/>
  <c r="D16" i="1" s="1"/>
  <c r="I16" i="1" s="1"/>
  <c r="D27" i="3"/>
  <c r="F27" i="3" s="1"/>
  <c r="G27" i="3" s="1"/>
  <c r="D40" i="1" s="1"/>
  <c r="I40" i="1" s="1"/>
  <c r="D41" i="3"/>
  <c r="F41" i="3" s="1"/>
  <c r="G41" i="3" s="1"/>
  <c r="D54" i="1" s="1"/>
  <c r="I54" i="1" s="1"/>
  <c r="D53" i="3"/>
  <c r="F53" i="3" s="1"/>
  <c r="G53" i="3" s="1"/>
  <c r="D45" i="1" s="1"/>
  <c r="I45" i="1" s="1"/>
  <c r="D19" i="3"/>
  <c r="F19" i="3" s="1"/>
  <c r="G19" i="3" s="1"/>
  <c r="D7" i="1" s="1"/>
  <c r="I7" i="1" s="1"/>
  <c r="D52" i="3"/>
  <c r="F52" i="3" s="1"/>
  <c r="G52" i="3" s="1"/>
  <c r="D51" i="1" s="1"/>
  <c r="I51" i="1" s="1"/>
  <c r="D2" i="3"/>
  <c r="F2" i="3" s="1"/>
  <c r="G2" i="3" s="1"/>
  <c r="D5" i="1" s="1"/>
  <c r="I5" i="1" s="1"/>
  <c r="D3" i="3"/>
  <c r="F3" i="3" s="1"/>
  <c r="G3" i="3" s="1"/>
  <c r="D21" i="1" s="1"/>
  <c r="I21" i="1" s="1"/>
  <c r="D54" i="3"/>
  <c r="F54" i="3" s="1"/>
  <c r="G54" i="3" s="1"/>
  <c r="D53" i="1" s="1"/>
  <c r="I53" i="1" s="1"/>
  <c r="D29" i="3"/>
  <c r="F29" i="3" s="1"/>
  <c r="G29" i="3" s="1"/>
  <c r="D3" i="1" s="1"/>
  <c r="I3" i="1" s="1"/>
  <c r="D37" i="3"/>
  <c r="F37" i="3" s="1"/>
  <c r="G37" i="3" s="1"/>
  <c r="D32" i="1" s="1"/>
  <c r="I32" i="1" s="1"/>
  <c r="D44" i="3"/>
  <c r="F44" i="3" s="1"/>
  <c r="G44" i="3" s="1"/>
  <c r="D42" i="1" s="1"/>
  <c r="I42" i="1" s="1"/>
  <c r="D30" i="3"/>
  <c r="F30" i="3" s="1"/>
  <c r="G30" i="3" s="1"/>
  <c r="D25" i="1" s="1"/>
  <c r="I25" i="1" s="1"/>
  <c r="D31" i="3"/>
  <c r="F31" i="3" s="1"/>
  <c r="G31" i="3" s="1"/>
  <c r="D39" i="1" s="1"/>
  <c r="I39" i="1" s="1"/>
  <c r="D23" i="3"/>
  <c r="F23" i="3" s="1"/>
  <c r="G23" i="3" s="1"/>
  <c r="D10" i="1" s="1"/>
  <c r="I10" i="1" s="1"/>
  <c r="D39" i="3"/>
  <c r="F39" i="3" s="1"/>
  <c r="G39" i="3" s="1"/>
  <c r="D26" i="1" s="1"/>
  <c r="I26" i="1" s="1"/>
  <c r="D51" i="3"/>
  <c r="F51" i="3" s="1"/>
  <c r="G51" i="3" s="1"/>
  <c r="D52" i="1" s="1"/>
  <c r="I52" i="1" s="1"/>
  <c r="D34" i="3"/>
  <c r="F34" i="3" s="1"/>
  <c r="G34" i="3" s="1"/>
  <c r="D18" i="1" s="1"/>
  <c r="I18" i="1" s="1"/>
  <c r="D12" i="3"/>
  <c r="F12" i="3" s="1"/>
  <c r="G12" i="3" s="1"/>
  <c r="D8" i="1" s="1"/>
  <c r="I8" i="1" s="1"/>
  <c r="D16" i="3"/>
  <c r="F16" i="3" s="1"/>
  <c r="G16" i="3" s="1"/>
  <c r="D29" i="1" s="1"/>
  <c r="I29" i="1" s="1"/>
  <c r="D46" i="3"/>
  <c r="F46" i="3" s="1"/>
  <c r="G46" i="3" s="1"/>
  <c r="D56" i="1" s="1"/>
  <c r="I56" i="1" s="1"/>
  <c r="D40" i="3"/>
  <c r="F40" i="3" s="1"/>
  <c r="G40" i="3" s="1"/>
  <c r="D38" i="1" s="1"/>
  <c r="I38" i="1" s="1"/>
  <c r="D48" i="3"/>
  <c r="F48" i="3" s="1"/>
  <c r="G48" i="3" s="1"/>
  <c r="D37" i="1" s="1"/>
  <c r="I37" i="1" s="1"/>
  <c r="D49" i="3"/>
  <c r="F49" i="3" s="1"/>
  <c r="G49" i="3" s="1"/>
  <c r="D23" i="1" s="1"/>
  <c r="I23" i="1" s="1"/>
  <c r="D36" i="3"/>
  <c r="F36" i="3" s="1"/>
  <c r="G36" i="3" s="1"/>
  <c r="D12" i="1" s="1"/>
  <c r="I12" i="1" s="1"/>
  <c r="D25" i="3"/>
  <c r="F25" i="3" s="1"/>
  <c r="G25" i="3" s="1"/>
  <c r="D33" i="1" s="1"/>
  <c r="I33" i="1" s="1"/>
  <c r="D55" i="3"/>
  <c r="F55" i="3" s="1"/>
  <c r="G55" i="3" s="1"/>
  <c r="D57" i="1" s="1"/>
  <c r="I57" i="1" s="1"/>
  <c r="D4" i="3"/>
  <c r="F4" i="3" s="1"/>
  <c r="G4" i="3" s="1"/>
  <c r="D11" i="1" s="1"/>
  <c r="I11" i="1" s="1"/>
  <c r="D10" i="3"/>
  <c r="F10" i="3" s="1"/>
  <c r="G10" i="3" s="1"/>
  <c r="D50" i="1" s="1"/>
  <c r="I50" i="1" s="1"/>
  <c r="D47" i="3"/>
  <c r="F47" i="3" s="1"/>
  <c r="G47" i="3" s="1"/>
  <c r="D49" i="1" s="1"/>
  <c r="I49" i="1" s="1"/>
  <c r="D6" i="3"/>
  <c r="F6" i="3" s="1"/>
  <c r="G6" i="3" s="1"/>
  <c r="D15" i="1" s="1"/>
  <c r="I15" i="1" s="1"/>
  <c r="D5" i="3"/>
  <c r="F5" i="3" s="1"/>
  <c r="G5" i="3" s="1"/>
  <c r="D22" i="1" s="1"/>
  <c r="I22" i="1" s="1"/>
  <c r="D8" i="3"/>
  <c r="F8" i="3" s="1"/>
  <c r="G8" i="3" s="1"/>
  <c r="D19" i="1" s="1"/>
  <c r="I19" i="1" s="1"/>
  <c r="D56" i="3"/>
  <c r="F56" i="3" s="1"/>
  <c r="G56" i="3" s="1"/>
  <c r="D55" i="1" s="1"/>
  <c r="I55" i="1" s="1"/>
  <c r="J47" i="1" l="1"/>
  <c r="J55" i="1"/>
  <c r="J40" i="1"/>
  <c r="J22" i="1"/>
  <c r="J54" i="1"/>
  <c r="J15" i="1"/>
  <c r="J42" i="1"/>
  <c r="J7" i="1"/>
  <c r="J38" i="1"/>
  <c r="J9" i="1"/>
  <c r="J41" i="1"/>
  <c r="J19" i="1"/>
  <c r="J51" i="1"/>
  <c r="J21" i="1"/>
  <c r="J53" i="1"/>
  <c r="J16" i="1"/>
  <c r="J31" i="1"/>
  <c r="J25" i="1"/>
  <c r="J35" i="1"/>
  <c r="J26" i="1"/>
  <c r="J14" i="1"/>
  <c r="J52" i="1"/>
  <c r="J44" i="1"/>
  <c r="J29" i="1"/>
  <c r="J50" i="1"/>
  <c r="J37" i="1"/>
  <c r="J36" i="1"/>
  <c r="J34" i="1"/>
  <c r="J32" i="1"/>
  <c r="J8" i="1"/>
  <c r="J18" i="1"/>
  <c r="J39" i="1"/>
  <c r="J20" i="1"/>
  <c r="J48" i="1"/>
  <c r="J24" i="1"/>
  <c r="J27" i="1"/>
  <c r="J45" i="1"/>
  <c r="J28" i="1"/>
  <c r="J46" i="1"/>
  <c r="J3" i="1"/>
  <c r="J6" i="1"/>
  <c r="J2" i="1"/>
  <c r="J30" i="1"/>
  <c r="J11" i="1"/>
  <c r="J43" i="1"/>
  <c r="J5" i="1"/>
  <c r="J33" i="1"/>
  <c r="J4" i="1"/>
  <c r="J57" i="1"/>
  <c r="J17" i="1"/>
  <c r="J56" i="1"/>
  <c r="J13" i="1"/>
  <c r="J49" i="1"/>
  <c r="J10" i="1"/>
  <c r="J23" i="1"/>
  <c r="J12" i="1"/>
</calcChain>
</file>

<file path=xl/sharedStrings.xml><?xml version="1.0" encoding="utf-8"?>
<sst xmlns="http://schemas.openxmlformats.org/spreadsheetml/2006/main" count="1732" uniqueCount="183">
  <si>
    <t>姓名</t>
  </si>
  <si>
    <t>车厢</t>
  </si>
  <si>
    <t>是否车厢长</t>
  </si>
  <si>
    <t>OHT执行30%</t>
  </si>
  <si>
    <t>OHT保障10%</t>
  </si>
  <si>
    <t>影响力10%</t>
  </si>
  <si>
    <t>努力度10%</t>
  </si>
  <si>
    <t>价值分5%</t>
  </si>
  <si>
    <t>总分</t>
  </si>
  <si>
    <t>RANK</t>
  </si>
  <si>
    <t>归属实体</t>
  </si>
  <si>
    <t>OHT-得分</t>
  </si>
  <si>
    <t>实体</t>
  </si>
  <si>
    <t>谷继显</t>
  </si>
  <si>
    <t>学科工具</t>
  </si>
  <si>
    <t>是</t>
  </si>
  <si>
    <t>RD</t>
  </si>
  <si>
    <t>刘昊恺</t>
  </si>
  <si>
    <t>丁星杰</t>
  </si>
  <si>
    <t>站内营销</t>
  </si>
  <si>
    <t>FE</t>
  </si>
  <si>
    <t>王秉庵</t>
  </si>
  <si>
    <t>否</t>
  </si>
  <si>
    <t>王丽萍</t>
  </si>
  <si>
    <t>闫涛</t>
  </si>
  <si>
    <t>督导学</t>
  </si>
  <si>
    <t>郭相磊</t>
  </si>
  <si>
    <t>高亦非</t>
  </si>
  <si>
    <t>朱静娜</t>
  </si>
  <si>
    <t>茆伟</t>
  </si>
  <si>
    <t>三方能力</t>
  </si>
  <si>
    <t>熊苓军</t>
  </si>
  <si>
    <t>李阔</t>
  </si>
  <si>
    <t>PM</t>
  </si>
  <si>
    <t>朱艳梅</t>
  </si>
  <si>
    <t>三教服务</t>
  </si>
  <si>
    <t>QA</t>
  </si>
  <si>
    <t>刘志伟</t>
  </si>
  <si>
    <t>王静</t>
  </si>
  <si>
    <t>李红苗</t>
  </si>
  <si>
    <t>赵学姣</t>
  </si>
  <si>
    <t>郭亚奎</t>
  </si>
  <si>
    <t>王瑞娟</t>
  </si>
  <si>
    <t>刘玉录</t>
  </si>
  <si>
    <t>许诺</t>
  </si>
  <si>
    <t>程振国</t>
  </si>
  <si>
    <t>王平</t>
  </si>
  <si>
    <t>陈忠勇</t>
  </si>
  <si>
    <t>李明</t>
  </si>
  <si>
    <t>陈英杰</t>
  </si>
  <si>
    <t>站台</t>
  </si>
  <si>
    <t>李悦冰</t>
  </si>
  <si>
    <t>学员旅程</t>
  </si>
  <si>
    <t>张辰</t>
  </si>
  <si>
    <t>高彦超</t>
  </si>
  <si>
    <t>刘宇祥</t>
  </si>
  <si>
    <t>任广琪</t>
  </si>
  <si>
    <t>张雷雷</t>
  </si>
  <si>
    <t>仝光华</t>
  </si>
  <si>
    <t>李向月</t>
  </si>
  <si>
    <t>陈士卿</t>
  </si>
  <si>
    <t>李盼盼</t>
  </si>
  <si>
    <t>赵丙圯</t>
  </si>
  <si>
    <t>吴锣钢</t>
  </si>
  <si>
    <t>王英杰</t>
  </si>
  <si>
    <t>李占旭</t>
  </si>
  <si>
    <t>林克文</t>
  </si>
  <si>
    <t>李澜楷</t>
  </si>
  <si>
    <t>李越</t>
  </si>
  <si>
    <t>李祥勇</t>
  </si>
  <si>
    <t>郭梁</t>
  </si>
  <si>
    <t>钊文磊</t>
  </si>
  <si>
    <t>廖金</t>
  </si>
  <si>
    <t>王伊庆</t>
  </si>
  <si>
    <t>肖傲</t>
  </si>
  <si>
    <t>雷朝军</t>
  </si>
  <si>
    <t>李殿龙</t>
  </si>
  <si>
    <t>王晨</t>
  </si>
  <si>
    <t>文翰</t>
  </si>
  <si>
    <t>李思涵</t>
  </si>
  <si>
    <t>杨爱学</t>
  </si>
  <si>
    <t>陈佳莹</t>
  </si>
  <si>
    <t>平均值:OHT执行30%</t>
  </si>
  <si>
    <t>平均值:OHT保障10%</t>
  </si>
  <si>
    <t>平均值:努力度10%</t>
  </si>
  <si>
    <t>平均值:价值分5%</t>
  </si>
  <si>
    <t>平均值:总分</t>
  </si>
  <si>
    <t>平均值:RANK</t>
  </si>
  <si>
    <t>车厢得分</t>
  </si>
  <si>
    <t>站台得分</t>
  </si>
  <si>
    <t>车厢-分位</t>
  </si>
  <si>
    <t>站台-分位</t>
  </si>
  <si>
    <t>整体-分位</t>
  </si>
  <si>
    <t>十分制</t>
  </si>
  <si>
    <t>基准值</t>
  </si>
  <si>
    <t>标准差</t>
  </si>
  <si>
    <t>标准差-右侧</t>
  </si>
  <si>
    <t>标准差-左侧</t>
  </si>
  <si>
    <t>不含为0的</t>
  </si>
  <si>
    <t>平均值</t>
  </si>
  <si>
    <t>最大值/2</t>
  </si>
  <si>
    <t>中位数</t>
  </si>
  <si>
    <t>BO加分</t>
  </si>
  <si>
    <t>督导学服务-FC</t>
  </si>
  <si>
    <t>站内营销-FC</t>
  </si>
  <si>
    <t>学员全旅程服务-FC</t>
  </si>
  <si>
    <t>教学教研教务-FC</t>
  </si>
  <si>
    <t>学科工具-FC</t>
  </si>
  <si>
    <t>三方能力对接-FC</t>
  </si>
  <si>
    <t>name</t>
  </si>
  <si>
    <t>fc</t>
  </si>
  <si>
    <t>SUM(Bci)</t>
  </si>
  <si>
    <t>SUM(Bpi)</t>
  </si>
  <si>
    <t>SUM(Bmi)</t>
  </si>
  <si>
    <t>SUM(B2)</t>
  </si>
  <si>
    <t>张培进</t>
  </si>
  <si>
    <t>王宁</t>
  </si>
  <si>
    <t>刘红娇</t>
  </si>
  <si>
    <t>person_type</t>
  </si>
  <si>
    <t>总积分</t>
  </si>
  <si>
    <t>单需求平均积分</t>
  </si>
  <si>
    <t>实际总工时</t>
  </si>
  <si>
    <t>全职飞行员</t>
  </si>
  <si>
    <t>临时飞行员</t>
  </si>
  <si>
    <t>袁荣</t>
  </si>
  <si>
    <t>线上故障(40%)</t>
  </si>
  <si>
    <t>线上BUG(20%)</t>
  </si>
  <si>
    <t>技术工单(20%)</t>
  </si>
  <si>
    <t>漏洞超期(10%)</t>
  </si>
  <si>
    <t>系统两用分(10%)</t>
  </si>
  <si>
    <t>自评</t>
  </si>
  <si>
    <t>同事</t>
  </si>
  <si>
    <t>他评</t>
  </si>
  <si>
    <t>得分</t>
  </si>
  <si>
    <t>std</t>
  </si>
  <si>
    <t>ave</t>
  </si>
  <si>
    <t>平均工时</t>
  </si>
  <si>
    <t>连续得分</t>
  </si>
  <si>
    <t>换算</t>
  </si>
  <si>
    <t>备注（多个系统则平均）</t>
  </si>
  <si>
    <t>慧学系统</t>
  </si>
  <si>
    <t>慧刷题</t>
  </si>
  <si>
    <t>哪吒</t>
  </si>
  <si>
    <t>售后平台</t>
  </si>
  <si>
    <t>李军</t>
  </si>
  <si>
    <t>其他</t>
  </si>
  <si>
    <t>择校+轻学</t>
  </si>
  <si>
    <t>赵江涛</t>
  </si>
  <si>
    <t>总计</t>
  </si>
  <si>
    <t>雷朝军</t>
    <phoneticPr fontId="1" type="noConversion"/>
  </si>
  <si>
    <t>投放平台</t>
  </si>
  <si>
    <t>唐志坚</t>
  </si>
  <si>
    <t>曹汉</t>
  </si>
  <si>
    <t>王静</t>
    <phoneticPr fontId="1" type="noConversion"/>
  </si>
  <si>
    <t>平均值</t>
    <phoneticPr fontId="1" type="noConversion"/>
  </si>
  <si>
    <t>李越</t>
    <phoneticPr fontId="1" type="noConversion"/>
  </si>
  <si>
    <t>原始无数据</t>
    <phoneticPr fontId="1" type="noConversion"/>
  </si>
  <si>
    <t>person</t>
  </si>
  <si>
    <t>(空白)</t>
  </si>
  <si>
    <t>12月份数据</t>
    <phoneticPr fontId="1" type="noConversion"/>
  </si>
  <si>
    <t>人员</t>
    <phoneticPr fontId="1" type="noConversion"/>
  </si>
  <si>
    <t>截止1月份数据</t>
    <phoneticPr fontId="1" type="noConversion"/>
  </si>
  <si>
    <t>李盼盼</t>
    <phoneticPr fontId="1" type="noConversion"/>
  </si>
  <si>
    <t>茆伟</t>
    <phoneticPr fontId="1" type="noConversion"/>
  </si>
  <si>
    <t>郭梁</t>
    <phoneticPr fontId="1" type="noConversion"/>
  </si>
  <si>
    <t>陈士卿</t>
    <phoneticPr fontId="1" type="noConversion"/>
  </si>
  <si>
    <t>王晨</t>
    <phoneticPr fontId="1" type="noConversion"/>
  </si>
  <si>
    <t>王丽萍</t>
    <phoneticPr fontId="1" type="noConversion"/>
  </si>
  <si>
    <t>王平</t>
    <phoneticPr fontId="1" type="noConversion"/>
  </si>
  <si>
    <t>王伊庆</t>
    <phoneticPr fontId="1" type="noConversion"/>
  </si>
  <si>
    <t>文翰</t>
    <phoneticPr fontId="1" type="noConversion"/>
  </si>
  <si>
    <t>袁荣</t>
    <phoneticPr fontId="1" type="noConversion"/>
  </si>
  <si>
    <t>张辰</t>
    <phoneticPr fontId="1" type="noConversion"/>
  </si>
  <si>
    <t>朱艳梅</t>
    <phoneticPr fontId="1" type="noConversion"/>
  </si>
  <si>
    <t>车厢12月份数据</t>
    <phoneticPr fontId="1" type="noConversion"/>
  </si>
  <si>
    <t>车厢截止1月份数据</t>
    <phoneticPr fontId="1" type="noConversion"/>
  </si>
  <si>
    <t>得分</t>
    <phoneticPr fontId="1" type="noConversion"/>
  </si>
  <si>
    <t>积分</t>
    <phoneticPr fontId="1" type="noConversion"/>
  </si>
  <si>
    <t>唐志坚</t>
    <phoneticPr fontId="1" type="noConversion"/>
  </si>
  <si>
    <t>总积分</t>
    <phoneticPr fontId="1" type="noConversion"/>
  </si>
  <si>
    <t>12月数据</t>
    <phoneticPr fontId="1" type="noConversion"/>
  </si>
  <si>
    <t>1月数据</t>
    <phoneticPr fontId="1" type="noConversion"/>
  </si>
  <si>
    <t>截止1月数据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</si>
</sst>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 * #,##0.00_ ;_ * \-#,##0.00_ ;_ * &quot;-&quot;??_ ;_ @_ "/>
    <numFmt numFmtId="177" formatCode="0.0000_ "/>
    <numFmt numFmtId="178" formatCode="0.0000"/>
    <numFmt numFmtId="179" formatCode="0.00_ "/>
    <numFmt numFmtId="180" formatCode="0.000"/>
    <numFmt numFmtId="181" formatCode="#,##0.000"/>
    <numFmt numFmtId="182" formatCode="_ * #,##0.0000_ ;_ * \-#,##0.0000_ ;_ * &quot;-&quot;??.00_ ;_ @_ "/>
    <numFmt numFmtId="183" formatCode="0_);[Red]\(0\)"/>
  </numFmts>
  <fonts count="3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等线 Light"/>
      <family val="4"/>
      <charset val="134"/>
    </font>
    <font>
      <sz val="10"/>
      <color rgb="FF000000"/>
      <name val="等线 Light"/>
      <family val="4"/>
      <charset val="134"/>
    </font>
    <font>
      <b/>
      <sz val="10"/>
      <color rgb="FFFFFFFF"/>
      <name val="等线 Light"/>
      <family val="4"/>
      <charset val="134"/>
    </font>
    <font>
      <sz val="10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0"/>
      <color rgb="FF000000"/>
      <name val="等线"/>
      <family val="4"/>
      <charset val="134"/>
    </font>
    <font>
      <sz val="12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i/>
      <sz val="12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等线"/>
      <family val="4"/>
      <charset val="134"/>
    </font>
    <font>
      <b/>
      <sz val="12"/>
      <color rgb="FF000000"/>
      <name val="等线"/>
      <family val="4"/>
      <charset val="134"/>
    </font>
    <font>
      <b/>
      <sz val="11"/>
      <color rgb="FF000000"/>
      <name val="等线"/>
      <family val="4"/>
      <charset val="134"/>
    </font>
    <font>
      <sz val="12"/>
      <color rgb="FF000000"/>
      <name val="Microsoft YaHei"/>
      <family val="2"/>
      <charset val="134"/>
    </font>
    <font>
      <b/>
      <sz val="12"/>
      <color rgb="FF000000"/>
      <name val="Microsoft YaHei"/>
      <family val="2"/>
      <charset val="134"/>
    </font>
    <font>
      <b/>
      <sz val="12"/>
      <color theme="1"/>
      <name val="等线 Light"/>
      <family val="4"/>
      <charset val="134"/>
    </font>
    <font>
      <b/>
      <sz val="14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trike/>
      <sz val="12"/>
      <color theme="1"/>
      <name val="等线 Light"/>
      <family val="4"/>
      <charset val="134"/>
    </font>
    <font>
      <strike/>
      <sz val="11"/>
      <color theme="1"/>
      <name val="宋体"/>
      <family val="3"/>
      <charset val="134"/>
    </font>
    <font>
      <b/>
      <strike/>
      <sz val="11"/>
      <color theme="1"/>
      <name val="宋体"/>
      <family val="3"/>
      <charset val="134"/>
    </font>
    <font>
      <sz val="10"/>
      <color rgb="FF000000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b/>
      <sz val="11"/>
      <name val="等线"/>
      <family val="3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DAE3F4"/>
      </patternFill>
    </fill>
    <fill>
      <patternFill patternType="solid">
        <fgColor rgb="FFFEF2CA"/>
      </patternFill>
    </fill>
    <fill>
      <patternFill patternType="solid">
        <fgColor rgb="FFFBE5D5"/>
      </patternFill>
    </fill>
    <fill>
      <patternFill patternType="solid">
        <fgColor rgb="FF8496B0"/>
      </patternFill>
    </fill>
    <fill>
      <patternFill patternType="solid">
        <fgColor rgb="FF7DDED6"/>
      </patternFill>
    </fill>
    <fill>
      <patternFill patternType="solid">
        <fgColor rgb="FFFDD960"/>
      </patternFill>
    </fill>
    <fill>
      <patternFill patternType="solid">
        <fgColor rgb="FFACD78D"/>
      </patternFill>
    </fill>
    <fill>
      <patternFill patternType="solid">
        <fgColor rgb="FF91ABDF"/>
      </patternFill>
    </fill>
    <fill>
      <patternFill patternType="solid">
        <fgColor rgb="FFF4B382"/>
      </patternFill>
    </fill>
    <fill>
      <patternFill patternType="solid">
        <fgColor rgb="FFEF939E"/>
      </patternFill>
    </fill>
    <fill>
      <patternFill patternType="solid">
        <fgColor rgb="FF6E30A4"/>
      </patternFill>
    </fill>
    <fill>
      <patternFill patternType="solid">
        <fgColor rgb="FFFEE595"/>
      </patternFill>
    </fill>
    <fill>
      <patternFill patternType="solid">
        <fgColor rgb="FFFCC102"/>
      </patternFill>
    </fill>
    <fill>
      <patternFill patternType="solid">
        <fgColor rgb="FFEE822F"/>
      </patternFill>
    </fill>
    <fill>
      <patternFill patternType="solid">
        <fgColor rgb="FFE2EDDA"/>
      </patternFill>
    </fill>
    <fill>
      <patternFill patternType="solid">
        <fgColor rgb="FFF6CCAC"/>
      </patternFill>
    </fill>
    <fill>
      <patternFill patternType="solid">
        <fgColor rgb="FFFFC000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rgb="FFFCC10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Border="1" applyProtection="1">
      <alignment vertical="center"/>
    </xf>
    <xf numFmtId="0" fontId="3" fillId="6" borderId="1" xfId="0" applyFont="1" applyFill="1" applyBorder="1" applyAlignment="1" applyProtection="1">
      <alignment horizontal="center" vertical="center"/>
    </xf>
    <xf numFmtId="0" fontId="3" fillId="7" borderId="1" xfId="0" applyFont="1" applyFill="1" applyBorder="1" applyAlignment="1" applyProtection="1">
      <alignment horizontal="center" vertical="center"/>
    </xf>
    <xf numFmtId="0" fontId="3" fillId="8" borderId="1" xfId="0" applyFont="1" applyFill="1" applyBorder="1" applyAlignment="1" applyProtection="1">
      <alignment horizontal="center" vertical="center"/>
    </xf>
    <xf numFmtId="0" fontId="3" fillId="9" borderId="1" xfId="0" applyFont="1" applyFill="1" applyBorder="1" applyAlignment="1" applyProtection="1">
      <alignment horizontal="center" vertical="center"/>
    </xf>
    <xf numFmtId="0" fontId="3" fillId="10" borderId="1" xfId="0" applyFont="1" applyFill="1" applyBorder="1" applyAlignment="1" applyProtection="1">
      <alignment horizontal="center" vertical="center"/>
    </xf>
    <xf numFmtId="0" fontId="3" fillId="11" borderId="1" xfId="0" applyFont="1" applyFill="1" applyBorder="1" applyAlignment="1" applyProtection="1">
      <alignment horizontal="center" vertical="center"/>
    </xf>
    <xf numFmtId="0" fontId="5" fillId="0" borderId="0" xfId="0" applyFont="1">
      <alignment vertical="center"/>
    </xf>
    <xf numFmtId="176" fontId="6" fillId="0" borderId="0" xfId="0" applyNumberFormat="1" applyFont="1">
      <alignment vertical="center"/>
    </xf>
    <xf numFmtId="0" fontId="7" fillId="14" borderId="1" xfId="0" applyFont="1" applyFill="1" applyBorder="1" applyProtection="1">
      <alignment vertical="center"/>
    </xf>
    <xf numFmtId="0" fontId="8" fillId="14" borderId="1" xfId="0" applyFont="1" applyFill="1" applyBorder="1" applyProtection="1">
      <alignment vertical="center"/>
    </xf>
    <xf numFmtId="0" fontId="9" fillId="14" borderId="1" xfId="0" applyFont="1" applyFill="1" applyBorder="1" applyProtection="1">
      <alignment vertical="center"/>
    </xf>
    <xf numFmtId="176" fontId="9" fillId="14" borderId="0" xfId="0" applyNumberFormat="1" applyFont="1" applyFill="1">
      <alignment vertical="center"/>
    </xf>
    <xf numFmtId="0" fontId="7" fillId="0" borderId="1" xfId="0" applyFont="1" applyBorder="1" applyProtection="1">
      <alignment vertical="center"/>
    </xf>
    <xf numFmtId="0" fontId="5" fillId="0" borderId="1" xfId="0" applyFont="1" applyBorder="1" applyProtection="1">
      <alignment vertical="center"/>
    </xf>
    <xf numFmtId="176" fontId="5" fillId="0" borderId="0" xfId="0" applyNumberFormat="1" applyFont="1">
      <alignment vertical="center"/>
    </xf>
    <xf numFmtId="9" fontId="5" fillId="0" borderId="1" xfId="0" applyNumberFormat="1" applyFont="1" applyBorder="1" applyProtection="1">
      <alignment vertical="center"/>
    </xf>
    <xf numFmtId="0" fontId="10" fillId="0" borderId="0" xfId="0" applyFont="1" applyAlignment="1"/>
    <xf numFmtId="0" fontId="10" fillId="0" borderId="0" xfId="0" applyFont="1">
      <alignment vertical="center"/>
    </xf>
    <xf numFmtId="0" fontId="11" fillId="15" borderId="1" xfId="0" applyFont="1" applyFill="1" applyBorder="1" applyAlignment="1" applyProtection="1">
      <alignment horizontal="center" vertical="top"/>
    </xf>
    <xf numFmtId="0" fontId="10" fillId="15" borderId="1" xfId="0" applyFont="1" applyFill="1" applyBorder="1" applyProtection="1">
      <alignment vertical="center"/>
    </xf>
    <xf numFmtId="177" fontId="10" fillId="0" borderId="1" xfId="0" applyNumberFormat="1" applyFont="1" applyBorder="1" applyProtection="1">
      <alignment vertical="center"/>
    </xf>
    <xf numFmtId="0" fontId="7" fillId="0" borderId="0" xfId="0" applyFont="1" applyAlignment="1"/>
    <xf numFmtId="0" fontId="10" fillId="0" borderId="0" xfId="0" applyFont="1" applyAlignment="1">
      <alignment horizontal="left" vertical="center"/>
    </xf>
    <xf numFmtId="0" fontId="11" fillId="16" borderId="1" xfId="0" applyFont="1" applyFill="1" applyBorder="1" applyAlignment="1" applyProtection="1">
      <alignment horizontal="right" vertical="center"/>
    </xf>
    <xf numFmtId="49" fontId="10" fillId="0" borderId="1" xfId="0" applyNumberFormat="1" applyFont="1" applyBorder="1" applyProtection="1">
      <alignment vertical="center"/>
    </xf>
    <xf numFmtId="178" fontId="10" fillId="0" borderId="1" xfId="0" applyNumberFormat="1" applyFont="1" applyBorder="1" applyProtection="1">
      <alignment vertical="center"/>
    </xf>
    <xf numFmtId="0" fontId="11" fillId="15" borderId="1" xfId="0" applyFont="1" applyFill="1" applyBorder="1" applyAlignment="1" applyProtection="1">
      <alignment horizontal="center" vertical="center"/>
    </xf>
    <xf numFmtId="177" fontId="10" fillId="0" borderId="1" xfId="0" applyNumberFormat="1" applyFont="1" applyBorder="1" applyAlignment="1" applyProtection="1">
      <alignment horizontal="left" vertical="center"/>
    </xf>
    <xf numFmtId="0" fontId="12" fillId="0" borderId="0" xfId="0" applyFont="1">
      <alignment vertical="center"/>
    </xf>
    <xf numFmtId="0" fontId="2" fillId="17" borderId="5" xfId="0" applyFont="1" applyFill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top"/>
    </xf>
    <xf numFmtId="0" fontId="7" fillId="0" borderId="6" xfId="0" applyFont="1" applyBorder="1" applyAlignment="1" applyProtection="1">
      <alignment horizontal="center" vertical="center"/>
    </xf>
    <xf numFmtId="179" fontId="7" fillId="0" borderId="0" xfId="0" applyNumberFormat="1" applyFont="1" applyAlignment="1">
      <alignment horizontal="left" vertical="top"/>
    </xf>
    <xf numFmtId="0" fontId="8" fillId="0" borderId="6" xfId="0" applyFont="1" applyBorder="1" applyAlignment="1" applyProtection="1">
      <alignment horizontal="center" vertical="center"/>
    </xf>
    <xf numFmtId="180" fontId="13" fillId="0" borderId="6" xfId="0" applyNumberFormat="1" applyFont="1" applyBorder="1" applyProtection="1">
      <alignment vertical="center"/>
    </xf>
    <xf numFmtId="177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>
      <alignment vertical="center"/>
    </xf>
    <xf numFmtId="0" fontId="14" fillId="0" borderId="1" xfId="0" applyFont="1" applyBorder="1" applyProtection="1">
      <alignment vertical="center"/>
    </xf>
    <xf numFmtId="0" fontId="15" fillId="0" borderId="0" xfId="0" applyFont="1">
      <alignment vertical="center"/>
    </xf>
    <xf numFmtId="0" fontId="16" fillId="18" borderId="1" xfId="0" applyFont="1" applyFill="1" applyBorder="1" applyProtection="1">
      <alignment vertical="center"/>
    </xf>
    <xf numFmtId="0" fontId="7" fillId="0" borderId="1" xfId="0" applyFont="1" applyBorder="1" applyProtection="1">
      <alignment vertical="center"/>
    </xf>
    <xf numFmtId="0" fontId="6" fillId="0" borderId="1" xfId="0" applyFont="1" applyBorder="1" applyProtection="1">
      <alignment vertical="center"/>
    </xf>
    <xf numFmtId="179" fontId="7" fillId="0" borderId="1" xfId="0" applyNumberFormat="1" applyFont="1" applyBorder="1" applyProtection="1">
      <alignment vertical="center"/>
    </xf>
    <xf numFmtId="0" fontId="17" fillId="0" borderId="0" xfId="0" applyFont="1" applyAlignment="1">
      <alignment horizontal="center" vertical="center"/>
    </xf>
    <xf numFmtId="4" fontId="17" fillId="0" borderId="0" xfId="0" applyNumberFormat="1" applyFont="1" applyAlignment="1">
      <alignment horizontal="right" vertical="center"/>
    </xf>
    <xf numFmtId="10" fontId="17" fillId="0" borderId="0" xfId="0" applyNumberFormat="1" applyFont="1" applyAlignment="1">
      <alignment horizontal="right" vertical="center"/>
    </xf>
    <xf numFmtId="181" fontId="17" fillId="0" borderId="0" xfId="0" applyNumberFormat="1" applyFont="1" applyAlignment="1">
      <alignment horizontal="right" vertical="center"/>
    </xf>
    <xf numFmtId="0" fontId="18" fillId="18" borderId="1" xfId="0" applyFont="1" applyFill="1" applyBorder="1" applyAlignment="1" applyProtection="1">
      <alignment horizontal="center" vertical="center"/>
    </xf>
    <xf numFmtId="4" fontId="18" fillId="18" borderId="1" xfId="0" applyNumberFormat="1" applyFont="1" applyFill="1" applyBorder="1" applyAlignment="1" applyProtection="1">
      <alignment horizontal="center" vertical="center"/>
    </xf>
    <xf numFmtId="10" fontId="18" fillId="18" borderId="1" xfId="0" applyNumberFormat="1" applyFont="1" applyFill="1" applyBorder="1" applyAlignment="1" applyProtection="1">
      <alignment horizontal="center" vertical="center"/>
    </xf>
    <xf numFmtId="0" fontId="18" fillId="3" borderId="1" xfId="0" applyFont="1" applyFill="1" applyBorder="1" applyAlignment="1" applyProtection="1">
      <alignment horizontal="center" vertical="center"/>
    </xf>
    <xf numFmtId="4" fontId="17" fillId="0" borderId="1" xfId="0" applyNumberFormat="1" applyFont="1" applyBorder="1" applyAlignment="1" applyProtection="1">
      <alignment horizontal="right" vertical="center"/>
    </xf>
    <xf numFmtId="10" fontId="17" fillId="0" borderId="1" xfId="0" applyNumberFormat="1" applyFont="1" applyBorder="1" applyAlignment="1" applyProtection="1">
      <alignment horizontal="right" vertical="center"/>
    </xf>
    <xf numFmtId="0" fontId="18" fillId="4" borderId="1" xfId="0" applyFont="1" applyFill="1" applyBorder="1" applyAlignment="1" applyProtection="1">
      <alignment horizontal="center" vertical="center"/>
    </xf>
    <xf numFmtId="181" fontId="18" fillId="18" borderId="1" xfId="0" applyNumberFormat="1" applyFont="1" applyFill="1" applyBorder="1" applyAlignment="1" applyProtection="1">
      <alignment horizontal="center" vertical="center"/>
    </xf>
    <xf numFmtId="4" fontId="18" fillId="18" borderId="0" xfId="0" applyNumberFormat="1" applyFont="1" applyFill="1" applyAlignment="1">
      <alignment horizontal="center" vertical="center"/>
    </xf>
    <xf numFmtId="181" fontId="17" fillId="0" borderId="1" xfId="0" applyNumberFormat="1" applyFont="1" applyBorder="1" applyAlignment="1" applyProtection="1">
      <alignment horizontal="right" vertical="center"/>
    </xf>
    <xf numFmtId="0" fontId="17" fillId="0" borderId="1" xfId="0" applyFont="1" applyBorder="1" applyProtection="1">
      <alignment vertical="center"/>
    </xf>
    <xf numFmtId="182" fontId="17" fillId="0" borderId="1" xfId="0" applyNumberFormat="1" applyFont="1" applyBorder="1" applyProtection="1">
      <alignment vertical="center"/>
    </xf>
    <xf numFmtId="176" fontId="17" fillId="0" borderId="1" xfId="0" applyNumberFormat="1" applyFont="1" applyBorder="1" applyProtection="1">
      <alignment vertical="center"/>
    </xf>
    <xf numFmtId="0" fontId="6" fillId="0" borderId="1" xfId="0" applyFont="1" applyBorder="1" applyProtection="1">
      <alignment vertical="center"/>
    </xf>
    <xf numFmtId="176" fontId="6" fillId="0" borderId="1" xfId="0" applyNumberFormat="1" applyFont="1" applyBorder="1" applyProtection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176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2" fillId="3" borderId="1" xfId="0" applyNumberFormat="1" applyFont="1" applyFill="1" applyBorder="1" applyAlignment="1" applyProtection="1">
      <alignment horizontal="center" vertical="center"/>
    </xf>
    <xf numFmtId="176" fontId="3" fillId="0" borderId="1" xfId="0" applyNumberFormat="1" applyFont="1" applyBorder="1" applyProtection="1">
      <alignment vertical="center"/>
    </xf>
    <xf numFmtId="0" fontId="2" fillId="0" borderId="7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181" fontId="4" fillId="12" borderId="1" xfId="0" applyNumberFormat="1" applyFont="1" applyFill="1" applyBorder="1" applyAlignment="1" applyProtection="1">
      <alignment horizontal="center" vertical="center"/>
    </xf>
    <xf numFmtId="4" fontId="4" fillId="12" borderId="2" xfId="0" applyNumberFormat="1" applyFont="1" applyFill="1" applyBorder="1" applyAlignment="1" applyProtection="1">
      <alignment horizontal="center" vertical="center"/>
    </xf>
    <xf numFmtId="181" fontId="2" fillId="13" borderId="1" xfId="0" applyNumberFormat="1" applyFont="1" applyFill="1" applyBorder="1" applyProtection="1">
      <alignment vertical="center"/>
    </xf>
    <xf numFmtId="176" fontId="3" fillId="0" borderId="2" xfId="0" applyNumberFormat="1" applyFont="1" applyBorder="1" applyProtection="1">
      <alignment vertical="center"/>
    </xf>
    <xf numFmtId="0" fontId="2" fillId="0" borderId="0" xfId="0" applyFont="1">
      <alignment vertical="center"/>
    </xf>
    <xf numFmtId="176" fontId="2" fillId="2" borderId="1" xfId="0" applyNumberFormat="1" applyFont="1" applyFill="1" applyBorder="1" applyAlignment="1" applyProtection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3" xfId="0" applyFont="1" applyBorder="1" applyAlignment="1" applyProtection="1">
      <alignment horizontal="left" vertical="center" wrapText="1"/>
    </xf>
    <xf numFmtId="0" fontId="3" fillId="0" borderId="8" xfId="0" applyFont="1" applyBorder="1" applyAlignment="1" applyProtection="1">
      <alignment horizontal="left" vertical="center" wrapText="1"/>
    </xf>
    <xf numFmtId="0" fontId="3" fillId="0" borderId="5" xfId="0" applyFont="1" applyBorder="1" applyAlignment="1" applyProtection="1">
      <alignment horizontal="left" vertical="center" wrapText="1"/>
    </xf>
    <xf numFmtId="0" fontId="3" fillId="0" borderId="9" xfId="0" applyFont="1" applyBorder="1" applyAlignment="1" applyProtection="1">
      <alignment horizontal="left" vertical="center" wrapText="1"/>
    </xf>
    <xf numFmtId="0" fontId="3" fillId="0" borderId="10" xfId="0" applyFont="1" applyBorder="1" applyAlignment="1" applyProtection="1">
      <alignment horizontal="left" vertical="center" wrapText="1"/>
    </xf>
    <xf numFmtId="0" fontId="3" fillId="0" borderId="11" xfId="0" applyFont="1" applyBorder="1" applyProtection="1">
      <alignment vertical="center"/>
    </xf>
    <xf numFmtId="0" fontId="3" fillId="0" borderId="12" xfId="0" applyFont="1" applyBorder="1" applyAlignment="1" applyProtection="1">
      <alignment horizontal="left" vertical="center" wrapText="1"/>
    </xf>
    <xf numFmtId="0" fontId="3" fillId="0" borderId="7" xfId="0" applyFont="1" applyBorder="1" applyProtection="1">
      <alignment vertical="center"/>
    </xf>
    <xf numFmtId="0" fontId="6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183" fontId="3" fillId="13" borderId="2" xfId="0" applyNumberFormat="1" applyFont="1" applyFill="1" applyBorder="1" applyAlignment="1" applyProtection="1">
      <alignment horizontal="center" vertical="center"/>
    </xf>
    <xf numFmtId="0" fontId="20" fillId="19" borderId="3" xfId="0" applyFont="1" applyFill="1" applyBorder="1" applyAlignment="1">
      <alignment horizontal="center" vertical="center"/>
    </xf>
    <xf numFmtId="0" fontId="20" fillId="19" borderId="4" xfId="0" applyFont="1" applyFill="1" applyBorder="1" applyAlignment="1">
      <alignment horizontal="center" vertical="center"/>
    </xf>
    <xf numFmtId="0" fontId="20" fillId="19" borderId="4" xfId="0" applyFont="1" applyFill="1" applyBorder="1" applyAlignment="1">
      <alignment horizontal="center" vertical="center" wrapText="1"/>
    </xf>
    <xf numFmtId="0" fontId="20" fillId="20" borderId="4" xfId="0" applyFont="1" applyFill="1" applyBorder="1" applyAlignment="1">
      <alignment horizontal="center" vertical="center"/>
    </xf>
    <xf numFmtId="0" fontId="19" fillId="21" borderId="5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top"/>
    </xf>
    <xf numFmtId="0" fontId="22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22" borderId="6" xfId="0" applyFont="1" applyFill="1" applyBorder="1" applyAlignment="1">
      <alignment horizontal="center" vertical="center"/>
    </xf>
    <xf numFmtId="0" fontId="19" fillId="23" borderId="5" xfId="0" applyFont="1" applyFill="1" applyBorder="1" applyAlignment="1">
      <alignment horizontal="center" vertical="center"/>
    </xf>
    <xf numFmtId="0" fontId="23" fillId="21" borderId="5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top"/>
    </xf>
    <xf numFmtId="0" fontId="25" fillId="0" borderId="6" xfId="0" applyFont="1" applyBorder="1" applyAlignment="1">
      <alignment horizontal="center" vertical="center"/>
    </xf>
    <xf numFmtId="0" fontId="25" fillId="22" borderId="6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26" fillId="0" borderId="0" xfId="0" applyFont="1">
      <alignment vertical="center"/>
    </xf>
    <xf numFmtId="0" fontId="26" fillId="0" borderId="1" xfId="0" applyFont="1" applyBorder="1">
      <alignment vertical="center"/>
    </xf>
    <xf numFmtId="0" fontId="27" fillId="0" borderId="0" xfId="0" applyFont="1">
      <alignment vertical="center"/>
    </xf>
    <xf numFmtId="9" fontId="26" fillId="0" borderId="1" xfId="0" applyNumberFormat="1" applyFont="1" applyBorder="1">
      <alignment vertical="center"/>
    </xf>
    <xf numFmtId="10" fontId="26" fillId="0" borderId="1" xfId="0" applyNumberFormat="1" applyFont="1" applyBorder="1">
      <alignment vertical="center"/>
    </xf>
    <xf numFmtId="0" fontId="0" fillId="0" borderId="0" xfId="0" applyAlignment="1"/>
    <xf numFmtId="0" fontId="6" fillId="0" borderId="1" xfId="0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5" fillId="0" borderId="13" xfId="0" applyFont="1" applyBorder="1" applyAlignment="1">
      <alignment vertical="center"/>
    </xf>
    <xf numFmtId="0" fontId="7" fillId="24" borderId="1" xfId="0" applyFont="1" applyFill="1" applyBorder="1">
      <alignment vertical="center"/>
    </xf>
    <xf numFmtId="0" fontId="8" fillId="24" borderId="1" xfId="0" applyFont="1" applyFill="1" applyBorder="1">
      <alignment vertical="center"/>
    </xf>
    <xf numFmtId="0" fontId="28" fillId="24" borderId="1" xfId="0" applyFont="1" applyFill="1" applyBorder="1">
      <alignment vertical="center"/>
    </xf>
    <xf numFmtId="0" fontId="28" fillId="24" borderId="0" xfId="0" applyFont="1" applyFill="1">
      <alignment vertical="center"/>
    </xf>
    <xf numFmtId="0" fontId="29" fillId="0" borderId="14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056.619835879632" createdVersion="7" refreshedVersion="7" minRefreshableVersion="3" recordCount="56" xr:uid="{00000000-000A-0000-FFFF-FFFF02000000}">
  <cacheSource type="worksheet">
    <worksheetSource ref="A1:K57" sheet="汇总"/>
  </cacheSource>
  <cacheFields count="11">
    <cacheField name="姓名" numFmtId="0">
      <sharedItems containsBlank="1"/>
    </cacheField>
    <cacheField name="车厢" numFmtId="0">
      <sharedItems containsBlank="1" count="8">
        <s v="学科工具"/>
        <s v="三方能力"/>
        <s v="督导学"/>
        <s v="站台"/>
        <s v="三教服务"/>
        <s v="站内营销"/>
        <s v="学员旅程"/>
        <m/>
      </sharedItems>
    </cacheField>
    <cacheField name="是否车厢长" numFmtId="0">
      <sharedItems containsBlank="1"/>
    </cacheField>
    <cacheField name="OHT执行30%" numFmtId="176">
      <sharedItems containsString="0" containsBlank="1" containsNumber="1" minValue="5.6059395513391728" maxValue="9.4828073971054803"/>
    </cacheField>
    <cacheField name="OHT保障10%" numFmtId="176">
      <sharedItems containsString="0" containsBlank="1" containsNumber="1" minValue="7" maxValue="9"/>
    </cacheField>
    <cacheField name="影响力10%" numFmtId="176">
      <sharedItems containsString="0" containsBlank="1" containsNumber="1" containsInteger="1" minValue="10" maxValue="10"/>
    </cacheField>
    <cacheField name="努力度10%" numFmtId="176">
      <sharedItems containsString="0" containsBlank="1" containsNumber="1" minValue="5.2199999999999989" maxValue="10"/>
    </cacheField>
    <cacheField name="价值分5%" numFmtId="176">
      <sharedItems containsString="0" containsBlank="1" containsNumber="1" minValue="8" maxValue="10"/>
    </cacheField>
    <cacheField name="总分" numFmtId="181">
      <sharedItems containsString="0" containsBlank="1" containsNumber="1" minValue="6.9209975153878824" maxValue="9.5157435965875319"/>
    </cacheField>
    <cacheField name="RANK" numFmtId="183">
      <sharedItems containsString="0" containsBlank="1" containsNumber="1" containsInteger="1" minValue="1" maxValue="55"/>
    </cacheField>
    <cacheField name="归属实体" numFmtId="0">
      <sharedItems containsBlank="1" count="5">
        <s v="RD"/>
        <s v="QA"/>
        <s v="PM"/>
        <s v="F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王秉庵"/>
    <x v="0"/>
    <s v="否"/>
    <n v="9.2972297902211061"/>
    <n v="8.9606440071556399"/>
    <n v="10"/>
    <n v="10"/>
    <n v="10"/>
    <n v="9.5157435965875319"/>
    <n v="1"/>
    <x v="0"/>
  </r>
  <r>
    <s v="陈士卿"/>
    <x v="1"/>
    <s v="是"/>
    <n v="9.3571395834725344"/>
    <n v="8.5271198568872997"/>
    <n v="10"/>
    <n v="9.02"/>
    <n v="10"/>
    <n v="9.3259290165084447"/>
    <n v="2"/>
    <x v="0"/>
  </r>
  <r>
    <s v="王瑞娟"/>
    <x v="0"/>
    <s v="否"/>
    <n v="9.1347944393485356"/>
    <n v="8.2140608228980305"/>
    <n v="10"/>
    <n v="10"/>
    <n v="10"/>
    <n v="9.3259144832220962"/>
    <n v="3"/>
    <x v="1"/>
  </r>
  <r>
    <s v="李殿龙"/>
    <x v="2"/>
    <s v="否"/>
    <n v="9.4828073971054803"/>
    <n v="8.1574239713774599"/>
    <n v="10"/>
    <n v="8.6999999999999993"/>
    <n v="9.2799999999999994"/>
    <n v="9.2224378711836756"/>
    <n v="4"/>
    <x v="2"/>
  </r>
  <r>
    <s v="郭亚奎"/>
    <x v="3"/>
    <s v="否"/>
    <n v="9.1986907519522134"/>
    <n v="8.1999999999999993"/>
    <n v="10"/>
    <n v="9.5599999999999987"/>
    <n v="8"/>
    <n v="9.1317034239779424"/>
    <n v="5"/>
    <x v="3"/>
  </r>
  <r>
    <s v="熊苓军"/>
    <x v="3"/>
    <s v="否"/>
    <n v="9.1736731336498298"/>
    <n v="8.1999999999999993"/>
    <n v="10"/>
    <n v="9.5399999999999991"/>
    <n v="8"/>
    <n v="9.1170799078383826"/>
    <n v="6"/>
    <x v="3"/>
  </r>
  <r>
    <s v="朱艳梅"/>
    <x v="4"/>
    <s v="否"/>
    <n v="8.8109681098018164"/>
    <n v="8.7066189624329198"/>
    <n v="10"/>
    <n v="9.86"/>
    <n v="8"/>
    <n v="9.0768497372059027"/>
    <n v="7"/>
    <x v="1"/>
  </r>
  <r>
    <s v="李阔"/>
    <x v="5"/>
    <s v="否"/>
    <n v="9.1674092786304229"/>
    <n v="8.1940250447227196"/>
    <n v="10"/>
    <n v="8.2199999999999989"/>
    <n v="10"/>
    <n v="9.0640389047098449"/>
    <n v="8"/>
    <x v="2"/>
  </r>
  <r>
    <s v="张辰"/>
    <x v="3"/>
    <s v="否"/>
    <n v="8.9895744545894622"/>
    <n v="8.1999999999999993"/>
    <n v="10"/>
    <n v="9.2800000000000011"/>
    <n v="8"/>
    <n v="8.9921112867335982"/>
    <n v="9"/>
    <x v="2"/>
  </r>
  <r>
    <s v="刘昊恺"/>
    <x v="5"/>
    <s v="否"/>
    <n v="8.2228709358784489"/>
    <n v="8.7245080500894492"/>
    <n v="10"/>
    <n v="10"/>
    <n v="10"/>
    <n v="8.9835570550345842"/>
    <n v="10"/>
    <x v="0"/>
  </r>
  <r>
    <s v="谷继显"/>
    <x v="0"/>
    <s v="是"/>
    <n v="8.3812657763443585"/>
    <n v="8.0948121645796096"/>
    <n v="10"/>
    <n v="10"/>
    <n v="10"/>
    <n v="8.9597860759404124"/>
    <n v="11"/>
    <x v="0"/>
  </r>
  <r>
    <s v="王丽萍"/>
    <x v="2"/>
    <s v="否"/>
    <n v="8.5597833842417348"/>
    <n v="8.1574239713774599"/>
    <n v="10"/>
    <n v="9.2399999999999984"/>
    <n v="9.2799999999999994"/>
    <n v="8.8795037114004103"/>
    <n v="12"/>
    <x v="3"/>
  </r>
  <r>
    <s v="李明"/>
    <x v="5"/>
    <s v="是"/>
    <n v="8.6222536452538456"/>
    <n v="8.1940250447227196"/>
    <n v="10"/>
    <n v="8.52"/>
    <n v="10"/>
    <n v="8.8585824585360395"/>
    <n v="13"/>
    <x v="3"/>
  </r>
  <r>
    <s v="朱静娜"/>
    <x v="5"/>
    <s v="否"/>
    <n v="8.2120564893426629"/>
    <n v="8.4772450805008894"/>
    <n v="10"/>
    <n v="9.4200000000000017"/>
    <n v="10"/>
    <n v="8.8512945459275212"/>
    <n v="14"/>
    <x v="0"/>
  </r>
  <r>
    <s v="李红苗"/>
    <x v="1"/>
    <s v="否"/>
    <n v="8.2051035717024448"/>
    <n v="8.6636851520572495"/>
    <n v="10"/>
    <n v="9.02"/>
    <n v="10"/>
    <n v="8.8152301334099352"/>
    <n v="15"/>
    <x v="1"/>
  </r>
  <r>
    <s v="王晨"/>
    <x v="2"/>
    <s v="是"/>
    <n v="8.2832889847891753"/>
    <n v="8.1574239713774599"/>
    <n v="10"/>
    <n v="9.4600000000000009"/>
    <n v="9.2799999999999994"/>
    <n v="8.7857370654992266"/>
    <n v="16"/>
    <x v="3"/>
  </r>
  <r>
    <s v="王英杰"/>
    <x v="4"/>
    <s v="否"/>
    <n v="8.2881985179200779"/>
    <n v="8.1350626118068003"/>
    <n v="10"/>
    <n v="10"/>
    <n v="8"/>
    <n v="8.7691781793180059"/>
    <n v="17"/>
    <x v="0"/>
  </r>
  <r>
    <s v="茆伟"/>
    <x v="1"/>
    <s v="否"/>
    <n v="8.7068167806467844"/>
    <n v="7.9636135957066196"/>
    <n v="10"/>
    <n v="7.8999999999999986"/>
    <n v="10"/>
    <n v="8.7667790673303045"/>
    <n v="18"/>
    <x v="0"/>
  </r>
  <r>
    <s v="刘志伟"/>
    <x v="1"/>
    <s v="否"/>
    <n v="8.0194563252858835"/>
    <n v="7.9636135957066196"/>
    <n v="10"/>
    <n v="9.7399999999999984"/>
    <n v="10"/>
    <n v="8.7326127033175798"/>
    <n v="19"/>
    <x v="2"/>
  </r>
  <r>
    <s v="吴锣钢"/>
    <x v="6"/>
    <s v="否"/>
    <n v="9.2148025951590569"/>
    <n v="8"/>
    <n v="10"/>
    <n v="6.8999999999999986"/>
    <n v="8"/>
    <n v="8.6991396593041816"/>
    <n v="20"/>
    <x v="2"/>
  </r>
  <r>
    <s v="李祥勇"/>
    <x v="2"/>
    <s v="否"/>
    <n v="7.9462632296367826"/>
    <n v="8.2766726296958897"/>
    <n v="10"/>
    <n v="9.66"/>
    <n v="9.2799999999999994"/>
    <n v="8.6793018951701892"/>
    <n v="21"/>
    <x v="0"/>
  </r>
  <r>
    <s v="丁星杰"/>
    <x v="5"/>
    <s v="否"/>
    <n v="8.4642697499883308"/>
    <n v="8.1940250447227196"/>
    <n v="10"/>
    <n v="7.5399999999999991"/>
    <n v="10"/>
    <n v="8.6348975837981072"/>
    <n v="22"/>
    <x v="3"/>
  </r>
  <r>
    <s v="王平"/>
    <x v="5"/>
    <s v="否"/>
    <n v="7.401079918425304"/>
    <n v="8.6994633273702995"/>
    <n v="10"/>
    <n v="10"/>
    <n v="10"/>
    <n v="8.6004158588686472"/>
    <n v="23"/>
    <x v="1"/>
  </r>
  <r>
    <s v="郭梁"/>
    <x v="4"/>
    <s v="否"/>
    <n v="8.1055179257688259"/>
    <n v="8.1350626118068003"/>
    <n v="10"/>
    <n v="9.3999999999999986"/>
    <n v="8"/>
    <n v="8.5925563675558898"/>
    <n v="24"/>
    <x v="3"/>
  </r>
  <r>
    <s v="陈忠勇"/>
    <x v="1"/>
    <s v="否"/>
    <n v="7.5769980426245773"/>
    <n v="8.0530590339892694"/>
    <n v="10"/>
    <n v="10"/>
    <n v="10"/>
    <n v="8.5821620249020008"/>
    <n v="25"/>
    <x v="0"/>
  </r>
  <r>
    <s v="赵学姣"/>
    <x v="5"/>
    <s v="否"/>
    <n v="7.4668317041268057"/>
    <n v="8.3430769230769197"/>
    <n v="10"/>
    <n v="10"/>
    <n v="10"/>
    <n v="8.5759341593011289"/>
    <n v="26"/>
    <x v="0"/>
  </r>
  <r>
    <s v="钊文磊"/>
    <x v="2"/>
    <s v="否"/>
    <n v="7.6621920285804848"/>
    <n v="8.3065116279069802"/>
    <n v="10"/>
    <n v="9.7600000000000016"/>
    <n v="9.2799999999999994"/>
    <n v="8.5681673405612973"/>
    <n v="27"/>
    <x v="0"/>
  </r>
  <r>
    <s v="刘玉录"/>
    <x v="5"/>
    <s v="否"/>
    <n v="7.5469815463417973"/>
    <n v="8.1940250447227196"/>
    <n v="10"/>
    <n v="9.68"/>
    <n v="10"/>
    <n v="8.5407645667304788"/>
    <n v="28"/>
    <x v="3"/>
  </r>
  <r>
    <s v="雷朝军"/>
    <x v="6"/>
    <s v="否"/>
    <n v="7.7505456398328683"/>
    <n v="8.1999999999999993"/>
    <n v="10"/>
    <n v="9.98"/>
    <n v="8"/>
    <n v="8.5279441414613242"/>
    <n v="29"/>
    <x v="3"/>
  </r>
  <r>
    <s v="郭相磊"/>
    <x v="6"/>
    <s v="否"/>
    <n v="8.0051020909645505"/>
    <n v="7.4472271914132397"/>
    <n v="10"/>
    <n v="9.9600000000000009"/>
    <n v="8"/>
    <n v="8.5265436098933698"/>
    <n v="30"/>
    <x v="3"/>
  </r>
  <r>
    <s v="张雷雷"/>
    <x v="4"/>
    <s v="否"/>
    <n v="8.3059676348857945"/>
    <n v="8.1350626118068003"/>
    <n v="10"/>
    <n v="7.9600000000000009"/>
    <n v="8"/>
    <n v="8.4635331563791052"/>
    <n v="31"/>
    <x v="0"/>
  </r>
  <r>
    <s v="李盼盼"/>
    <x v="0"/>
    <s v="否"/>
    <n v="7.4611496331342675"/>
    <n v="8.0053667262969608"/>
    <n v="10"/>
    <n v="9.6000000000000014"/>
    <n v="10"/>
    <n v="8.4598177885691932"/>
    <n v="32"/>
    <x v="2"/>
  </r>
  <r>
    <s v="陈英杰"/>
    <x v="0"/>
    <s v="否"/>
    <n v="7.3903035726105148"/>
    <n v="8.0053667262969608"/>
    <n v="10"/>
    <n v="9.7199999999999989"/>
    <n v="10"/>
    <n v="8.4455811452505376"/>
    <n v="33"/>
    <x v="3"/>
  </r>
  <r>
    <s v="任广琪"/>
    <x v="4"/>
    <s v="否"/>
    <n v="7.4950189375326079"/>
    <n v="8.1797853309481194"/>
    <n v="10"/>
    <n v="9.82"/>
    <n v="8"/>
    <n v="8.3822834066993757"/>
    <n v="34"/>
    <x v="0"/>
  </r>
  <r>
    <s v="闫涛"/>
    <x v="5"/>
    <s v="否"/>
    <n v="7.6470522692471059"/>
    <n v="8.2387477638640405"/>
    <n v="10"/>
    <n v="8.1000000000000014"/>
    <n v="10"/>
    <n v="8.3507545494777489"/>
    <n v="35"/>
    <x v="3"/>
  </r>
  <r>
    <s v="高彦超"/>
    <x v="1"/>
    <s v="否"/>
    <n v="7.6663698869936088"/>
    <n v="8.0083363148479396"/>
    <n v="10"/>
    <n v="8.0799999999999983"/>
    <n v="10"/>
    <n v="8.321145534742886"/>
    <n v="36"/>
    <x v="3"/>
  </r>
  <r>
    <s v="李占旭"/>
    <x v="3"/>
    <s v="否"/>
    <n v="7.1833610246117097"/>
    <n v="8.1574239713774599"/>
    <n v="10"/>
    <n v="9.34"/>
    <n v="9.2799999999999994"/>
    <n v="8.2596164684942455"/>
    <n v="37"/>
    <x v="0"/>
  </r>
  <r>
    <s v="程振国"/>
    <x v="5"/>
    <s v="否"/>
    <n v="7.3104418684528456"/>
    <n v="8.1940250447227196"/>
    <n v="10"/>
    <n v="8.18"/>
    <n v="10"/>
    <n v="8.2008231769355788"/>
    <n v="38"/>
    <x v="3"/>
  </r>
  <r>
    <s v="文翰"/>
    <x v="2"/>
    <s v="否"/>
    <n v="7.2252600930655451"/>
    <n v="8.1574239713774599"/>
    <n v="10"/>
    <n v="8.7199999999999989"/>
    <n v="9.2799999999999994"/>
    <n v="8.1835698847037062"/>
    <n v="39"/>
    <x v="3"/>
  </r>
  <r>
    <s v="李思涵"/>
    <x v="4"/>
    <s v="否"/>
    <n v="7.5606429407222908"/>
    <n v="8.3850626118068003"/>
    <n v="10"/>
    <n v="8.1000000000000014"/>
    <n v="8"/>
    <n v="8.1795371436882593"/>
    <n v="40"/>
    <x v="2"/>
  </r>
  <r>
    <s v="李澜楷"/>
    <x v="3"/>
    <s v="否"/>
    <n v="7.2911441395418848"/>
    <n v="8.1999999999999993"/>
    <n v="10"/>
    <n v="8.879999999999999"/>
    <n v="8"/>
    <n v="8.1466819105577919"/>
    <n v="41"/>
    <x v="2"/>
  </r>
  <r>
    <s v="李越"/>
    <x v="6"/>
    <s v="否"/>
    <n v="6.8078604003257217"/>
    <n v="8.1999999999999993"/>
    <n v="10"/>
    <n v="10"/>
    <n v="8"/>
    <n v="8.0959355693811013"/>
    <n v="42"/>
    <x v="2"/>
  </r>
  <r>
    <s v="刘宇祥"/>
    <x v="4"/>
    <s v="是"/>
    <n v="7.4707719711942087"/>
    <n v="8.4083720930232602"/>
    <n v="10"/>
    <n v="7.4600000000000009"/>
    <n v="8"/>
    <n v="8.0431827702470589"/>
    <n v="43"/>
    <x v="0"/>
  </r>
  <r>
    <s v="杨爱学"/>
    <x v="2"/>
    <s v="否"/>
    <n v="6.8383375507913344"/>
    <n v="8.5599284436493708"/>
    <n v="10"/>
    <n v="7.120000000000001"/>
    <n v="9.2799999999999994"/>
    <n v="7.8207601686189809"/>
    <n v="44"/>
    <x v="1"/>
  </r>
  <r>
    <s v="许诺"/>
    <x v="6"/>
    <s v="否"/>
    <n v="6.6825575878161851"/>
    <n v="7.2218246869409697"/>
    <n v="10"/>
    <n v="9.3999999999999986"/>
    <n v="8"/>
    <n v="7.7953073000599264"/>
    <n v="45"/>
    <x v="0"/>
  </r>
  <r>
    <s v="高亦非"/>
    <x v="5"/>
    <s v="否"/>
    <n v="7.1841039882292606"/>
    <n v="8.1940250447227196"/>
    <n v="10"/>
    <n v="5.9200000000000017"/>
    <n v="10"/>
    <n v="7.7948210783708465"/>
    <n v="46"/>
    <x v="3"/>
  </r>
  <r>
    <s v="李向月"/>
    <x v="6"/>
    <s v="是"/>
    <n v="6.5898077897292602"/>
    <n v="7.0429338103756702"/>
    <n v="10"/>
    <n v="9.82"/>
    <n v="8"/>
    <n v="7.7895934122405315"/>
    <n v="47"/>
    <x v="3"/>
  </r>
  <r>
    <s v="王伊庆"/>
    <x v="6"/>
    <s v="否"/>
    <n v="6.4236340700938346"/>
    <n v="7"/>
    <n v="10"/>
    <n v="10"/>
    <n v="8"/>
    <n v="7.7339849554279239"/>
    <n v="48"/>
    <x v="3"/>
  </r>
  <r>
    <s v="仝光华"/>
    <x v="6"/>
    <s v="否"/>
    <n v="6.5608089131303187"/>
    <n v="7.0608228980321996"/>
    <n v="10"/>
    <n v="9.0599999999999987"/>
    <n v="8"/>
    <n v="7.6620384057574089"/>
    <n v="49"/>
    <x v="0"/>
  </r>
  <r>
    <s v="赵丙圯"/>
    <x v="6"/>
    <s v="否"/>
    <n v="6.6208293734413459"/>
    <n v="9"/>
    <n v="10"/>
    <n v="6.6999999999999993"/>
    <n v="8"/>
    <n v="7.6249981723575448"/>
    <n v="50"/>
    <x v="1"/>
  </r>
  <r>
    <s v="林克文"/>
    <x v="6"/>
    <s v="否"/>
    <n v="6.381198790235393"/>
    <n v="7.0894454382826497"/>
    <n v="10"/>
    <n v="8.8999999999999986"/>
    <n v="8"/>
    <n v="7.5589295090752042"/>
    <n v="51"/>
    <x v="3"/>
  </r>
  <r>
    <s v="李悦冰"/>
    <x v="6"/>
    <s v="否"/>
    <n v="5.6059395513391728"/>
    <n v="8.1999999999999993"/>
    <n v="10"/>
    <n v="9"/>
    <n v="8"/>
    <n v="7.3873567160026949"/>
    <n v="52"/>
    <x v="1"/>
  </r>
  <r>
    <s v="王静"/>
    <x v="1"/>
    <s v="否"/>
    <n v="5.6059395513391728"/>
    <n v="8.1999999999999993"/>
    <n v="10"/>
    <n v="9"/>
    <n v="8"/>
    <n v="7.3873567160026949"/>
    <n v="52"/>
    <x v="2"/>
  </r>
  <r>
    <s v="肖傲"/>
    <x v="6"/>
    <s v="否"/>
    <n v="6.0127451240343204"/>
    <n v="7"/>
    <n v="10"/>
    <n v="8.82"/>
    <n v="8"/>
    <n v="7.3628054418619939"/>
    <n v="54"/>
    <x v="3"/>
  </r>
  <r>
    <s v="廖金"/>
    <x v="4"/>
    <s v="否"/>
    <n v="5.8771404127381448"/>
    <n v="8.1350626118068003"/>
    <n v="10"/>
    <n v="5.2199999999999989"/>
    <n v="8"/>
    <n v="6.9209975153878824"/>
    <n v="55"/>
    <x v="3"/>
  </r>
  <r>
    <m/>
    <x v="7"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4" applyNumberFormats="0" applyBorderFormats="0" applyFontFormats="0" applyPatternFormats="0" applyAlignmentFormats="0" applyWidthHeightFormats="1" dataCaption="value" updatedVersion="7" indent="0" compact="0" compactData="0" multipleFieldFilters="0">
  <location ref="A1:G10" firstHeaderRow="0" firstDataRow="1" firstDataCol="1"/>
  <pivotFields count="11">
    <pivotField compact="0" outline="0" multipleItemSelectionAllowed="1" showAll="0"/>
    <pivotField axis="axisRow" compact="0" outline="0" multipleItemSelectionAllowed="1" showAll="0">
      <items count="9">
        <item x="2"/>
        <item x="1"/>
        <item x="4"/>
        <item x="0"/>
        <item x="6"/>
        <item x="5"/>
        <item x="3"/>
        <item x="7"/>
        <item t="default"/>
      </items>
    </pivotField>
    <pivotField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compact="0" outline="0" multipleItemSelectionAllowe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平均值:OHT执行30%" fld="3" subtotal="average" baseField="0" baseItem="0"/>
    <dataField name="平均值:OHT保障10%" fld="4" subtotal="average" baseField="0" baseItem="0"/>
    <dataField name="平均值:努力度10%" fld="6" subtotal="average" baseField="0" baseItem="0"/>
    <dataField name="平均值:价值分5%" fld="7" subtotal="average" baseField="0" baseItem="0"/>
    <dataField name="平均值:总分" fld="8" subtotal="average" baseField="0" baseItem="0"/>
    <dataField name="平均值:RANK" fld="9" subtotal="average" baseField="0" baseItem="0"/>
  </dataField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4" applyNumberFormats="0" applyBorderFormats="0" applyFontFormats="0" applyPatternFormats="0" applyAlignmentFormats="0" applyWidthHeightFormats="1" dataCaption="value" updatedVersion="7" indent="0" compact="0" compactData="0" multipleFieldFilters="0">
  <location ref="A12:G18" firstHeaderRow="0" firstDataRow="1" firstDataCol="1"/>
  <pivotFields count="11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axis="axisRow" compact="0" outline="0" multipleItemSelectionAllowed="1" showAll="0">
      <items count="6">
        <item x="3"/>
        <item x="2"/>
        <item x="1"/>
        <item x="0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平均值:OHT执行30%" fld="3" subtotal="average" baseField="0" baseItem="0"/>
    <dataField name="平均值:OHT保障10%" fld="4" subtotal="average" baseField="0" baseItem="0"/>
    <dataField name="平均值:努力度10%" fld="6" subtotal="average" baseField="0" baseItem="0"/>
    <dataField name="平均值:价值分5%" fld="7" subtotal="average" baseField="0" baseItem="0"/>
    <dataField name="平均值:总分" fld="8" subtotal="average" baseField="0" baseItem="0"/>
    <dataField name="平均值:RANK" fld="9" subtotal="average" baseField="0" baseItem="0"/>
  </dataField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5CBE-2169-194D-9ABD-0437242E124B}">
  <sheetPr>
    <outlinePr summaryBelow="0" summaryRight="0"/>
  </sheetPr>
  <dimension ref="A1:AH58"/>
  <sheetViews>
    <sheetView tabSelected="1" topLeftCell="A9" workbookViewId="0">
      <pane xSplit="2" topLeftCell="C1" activePane="topRight" state="frozen"/>
      <selection pane="topRight" activeCell="L25" sqref="L25:L33"/>
    </sheetView>
  </sheetViews>
  <sheetFormatPr baseColWidth="10" defaultColWidth="8.6640625" defaultRowHeight="16" customHeight="1"/>
  <cols>
    <col min="1" max="1" width="9.83203125" style="72" customWidth="1"/>
    <col min="2" max="3" width="9.83203125" style="5" customWidth="1"/>
    <col min="4" max="8" width="11.1640625" style="73" customWidth="1"/>
    <col min="9" max="9" width="13.1640625" style="74" customWidth="1"/>
    <col min="10" max="10" width="5.83203125" style="73"/>
    <col min="11" max="11" width="9.6640625" style="76"/>
    <col min="12" max="14" width="27" style="75"/>
    <col min="15" max="15" width="8.6640625" style="75"/>
    <col min="16" max="16" width="12.5" style="75" customWidth="1"/>
    <col min="17" max="17" width="8.6640625" style="75"/>
    <col min="18" max="19" width="10.5" style="73" customWidth="1"/>
    <col min="20" max="34" width="8.6640625" style="75"/>
  </cols>
  <sheetData>
    <row r="1" spans="1:32" s="71" customFormat="1" ht="16" customHeight="1">
      <c r="A1" s="1" t="s">
        <v>0</v>
      </c>
      <c r="B1" s="1" t="s">
        <v>1</v>
      </c>
      <c r="C1" s="1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81" t="s">
        <v>8</v>
      </c>
      <c r="J1" s="82" t="s">
        <v>9</v>
      </c>
      <c r="K1" s="72" t="s">
        <v>10</v>
      </c>
      <c r="L1" s="85"/>
      <c r="M1" s="85"/>
      <c r="N1" s="85"/>
      <c r="O1" s="1" t="s">
        <v>0</v>
      </c>
      <c r="P1" s="86" t="s">
        <v>11</v>
      </c>
      <c r="Q1" s="85"/>
      <c r="R1" s="87" t="s">
        <v>0</v>
      </c>
      <c r="S1" s="87" t="s">
        <v>1</v>
      </c>
      <c r="T1" s="85" t="s">
        <v>12</v>
      </c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2" ht="18.75" customHeight="1">
      <c r="A2" s="3" t="s">
        <v>21</v>
      </c>
      <c r="B2" s="8" t="str">
        <f>VLOOKUP(A2,R:S,2,FALSE)</f>
        <v>学科工具</v>
      </c>
      <c r="C2" s="5" t="s">
        <v>22</v>
      </c>
      <c r="D2" s="78">
        <f>VLOOKUP(A2,'OHT执行（30%）'!$A:$G,7,FALSE)</f>
        <v>9.5339797325623437</v>
      </c>
      <c r="E2" s="78">
        <f>VLOOKUP(A2,'保障-(10%)'!$A:$G,7,FALSE)</f>
        <v>8.7788072675171591</v>
      </c>
      <c r="F2" s="78">
        <f>IFERROR(VLOOKUP(A2,'影响力-(10%)'!$A$1:$E$55,5,FALSE),AVERAGE('影响力-(10%)'!$E$2:$E$55))</f>
        <v>10</v>
      </c>
      <c r="G2" s="78">
        <f>VLOOKUP(A2,'努力度(10%)'!$A$1:$C$62,3,FALSE)</f>
        <v>10</v>
      </c>
      <c r="H2" s="78">
        <f>VLOOKUP(A2,'系统价值分（5%）'!A:D,4,FALSE)</f>
        <v>10</v>
      </c>
      <c r="I2" s="83">
        <f>(0.3*D2+0.1*E2+0.1*F2+0.1*G2+H2*0.05)/0.65</f>
        <v>9.5970379177237213</v>
      </c>
      <c r="J2" s="99">
        <f>COUNTIF(I:I,"&gt;"&amp;I2)+1</f>
        <v>1</v>
      </c>
      <c r="K2" s="5" t="str">
        <f>VLOOKUP(A2,$R:$T,3,FALSE())</f>
        <v>RD</v>
      </c>
      <c r="O2" s="3" t="s">
        <v>17</v>
      </c>
      <c r="P2" s="78"/>
      <c r="R2" s="88" t="s">
        <v>18</v>
      </c>
      <c r="S2" s="91" t="s">
        <v>19</v>
      </c>
      <c r="T2" s="6" t="s">
        <v>20</v>
      </c>
    </row>
    <row r="3" spans="1:32" ht="18.75" customHeight="1">
      <c r="A3" s="3" t="s">
        <v>42</v>
      </c>
      <c r="B3" s="8" t="str">
        <f>VLOOKUP(A3,R:S,2,FALSE)</f>
        <v>学科工具</v>
      </c>
      <c r="C3" s="5" t="s">
        <v>22</v>
      </c>
      <c r="D3" s="78">
        <f>VLOOKUP(A3,'OHT执行（30%）'!$A:$G,7,FALSE)</f>
        <v>9.1982566179933336</v>
      </c>
      <c r="E3" s="78">
        <f>VLOOKUP(A3,'保障-(10%)'!$A:$G,7,FALSE)</f>
        <v>8.1554306057325494</v>
      </c>
      <c r="F3" s="78">
        <f>IFERROR(VLOOKUP(A3,'影响力-(10%)'!$A$1:$E$55,5,FALSE),AVERAGE('影响力-(10%)'!$E$2:$E$55))</f>
        <v>10</v>
      </c>
      <c r="G3" s="78">
        <f>VLOOKUP(A3,'努力度(10%)'!$A$1:$C$62,3,FALSE)</f>
        <v>10</v>
      </c>
      <c r="H3" s="78">
        <f>VLOOKUP(A3,'系统价值分（5%）'!A:D,4,FALSE)</f>
        <v>10</v>
      </c>
      <c r="I3" s="83">
        <f>(0.3*D3+0.1*E3+0.1*F3+0.1*G3+H3*0.05)/0.65</f>
        <v>9.3461846861096216</v>
      </c>
      <c r="J3" s="99">
        <f>COUNTIF(I:I,"&gt;"&amp;I3)+1</f>
        <v>2</v>
      </c>
      <c r="K3" s="5" t="str">
        <f>VLOOKUP(A3,$R:$T,3,FALSE())</f>
        <v>QA</v>
      </c>
      <c r="O3" s="3" t="s">
        <v>23</v>
      </c>
      <c r="P3" s="78"/>
      <c r="R3" s="88" t="s">
        <v>24</v>
      </c>
      <c r="S3" s="91" t="s">
        <v>19</v>
      </c>
      <c r="T3" s="6" t="s">
        <v>20</v>
      </c>
    </row>
    <row r="4" spans="1:32" ht="18.75" customHeight="1">
      <c r="A4" s="2" t="s">
        <v>60</v>
      </c>
      <c r="B4" s="10" t="str">
        <f>VLOOKUP(A4,R:S,2,FALSE)</f>
        <v>三方能力</v>
      </c>
      <c r="C4" s="5" t="s">
        <v>15</v>
      </c>
      <c r="D4" s="78">
        <f>VLOOKUP(A4,'OHT执行（30%）'!$A:$G,7,FALSE)</f>
        <v>9.4983491341976585</v>
      </c>
      <c r="E4" s="78">
        <f>VLOOKUP(A4,'保障-(10%)'!$A:$G,7,FALSE)</f>
        <v>8.29605082439687</v>
      </c>
      <c r="F4" s="78">
        <f>IFERROR(VLOOKUP(A4,'影响力-(10%)'!$A$1:$E$55,5,FALSE),AVERAGE('影响力-(10%)'!$E$2:$E$55))</f>
        <v>10</v>
      </c>
      <c r="G4" s="78">
        <f>VLOOKUP(A4,'努力度(10%)'!$A$1:$C$62,3,FALSE)</f>
        <v>8.8999999999999986</v>
      </c>
      <c r="H4" s="78">
        <f>VLOOKUP(A4,'系统价值分（5%）'!A:D,4,FALSE)</f>
        <v>10</v>
      </c>
      <c r="I4" s="83">
        <f>(0.3*D4+0.1*E4+0.1*F4+0.1*G4+H4*0.05)/0.65</f>
        <v>9.3370920349215147</v>
      </c>
      <c r="J4" s="99">
        <f>COUNTIF(I:I,"&gt;"&amp;I4)+1</f>
        <v>3</v>
      </c>
      <c r="K4" s="5" t="str">
        <f>VLOOKUP(A4,$R:$T,3,FALSE())</f>
        <v>RD</v>
      </c>
      <c r="O4" s="3" t="s">
        <v>26</v>
      </c>
      <c r="P4" s="78"/>
      <c r="R4" s="88" t="s">
        <v>27</v>
      </c>
      <c r="S4" s="91" t="s">
        <v>19</v>
      </c>
      <c r="T4" s="6" t="s">
        <v>20</v>
      </c>
    </row>
    <row r="5" spans="1:32" ht="18.75" customHeight="1">
      <c r="A5" s="3" t="s">
        <v>23</v>
      </c>
      <c r="B5" s="4" t="str">
        <f>VLOOKUP(A5,R:S,2,FALSE)</f>
        <v>督导学</v>
      </c>
      <c r="C5" s="5" t="s">
        <v>22</v>
      </c>
      <c r="D5" s="78">
        <f>VLOOKUP(A5,'OHT执行（30%）'!$A:$G,7,FALSE)</f>
        <v>9.3600004597262298</v>
      </c>
      <c r="E5" s="78">
        <f>VLOOKUP(A5,'保障-(10%)'!$A:$G,7,FALSE)</f>
        <v>8.0389695113114996</v>
      </c>
      <c r="F5" s="78">
        <f>IFERROR(VLOOKUP(A5,'影响力-(10%)'!$A$1:$E$55,5,FALSE),AVERAGE('影响力-(10%)'!$E$2:$E$55))</f>
        <v>10</v>
      </c>
      <c r="G5" s="78">
        <f>VLOOKUP(A5,'努力度(10%)'!$A$1:$C$62,3,FALSE)</f>
        <v>9.52</v>
      </c>
      <c r="H5" s="78">
        <f>VLOOKUP(A5,'系统价值分（5%）'!A:D,4,FALSE)</f>
        <v>9.4899999999999984</v>
      </c>
      <c r="I5" s="83">
        <f>(0.3*D5+0.1*E5+0.1*F5+0.1*G5+H5*0.05)/0.65</f>
        <v>9.2898416754600284</v>
      </c>
      <c r="J5" s="99">
        <f>COUNTIF(I:I,"&gt;"&amp;I5)+1</f>
        <v>4</v>
      </c>
      <c r="K5" s="5" t="str">
        <f>VLOOKUP(A5,$R:$T,3,FALSE())</f>
        <v>FE</v>
      </c>
      <c r="O5" s="2" t="s">
        <v>13</v>
      </c>
      <c r="P5" s="78"/>
      <c r="R5" s="88" t="s">
        <v>28</v>
      </c>
      <c r="S5" s="91" t="s">
        <v>19</v>
      </c>
      <c r="T5" s="6" t="s">
        <v>16</v>
      </c>
    </row>
    <row r="6" spans="1:32" ht="18.75" customHeight="1">
      <c r="A6" s="3" t="s">
        <v>17</v>
      </c>
      <c r="B6" s="7" t="str">
        <f>VLOOKUP(A6,R:S,2,FALSE)</f>
        <v>站内营销</v>
      </c>
      <c r="C6" s="5" t="s">
        <v>22</v>
      </c>
      <c r="D6" s="78">
        <f>VLOOKUP(A6,'OHT执行（30%）'!$A:$G,7,FALSE)</f>
        <v>8.9772846983881021</v>
      </c>
      <c r="E6" s="78">
        <f>VLOOKUP(A6,'保障-(10%)'!$A:$G,7,FALSE)</f>
        <v>8.2285321670215907</v>
      </c>
      <c r="F6" s="78">
        <f>IFERROR(VLOOKUP(A6,'影响力-(10%)'!$A$1:$E$55,5,FALSE),AVERAGE('影响力-(10%)'!$E$2:$E$55))</f>
        <v>10</v>
      </c>
      <c r="G6" s="78">
        <f>VLOOKUP(A6,'努力度(10%)'!$A$1:$C$62,3,FALSE)</f>
        <v>10</v>
      </c>
      <c r="H6" s="78">
        <f>VLOOKUP(A6,'系统价值分（5%）'!A:D,4,FALSE)</f>
        <v>10</v>
      </c>
      <c r="I6" s="83">
        <f>(0.3*D6+0.1*E6+0.1*F6+0.1*G6+H6*0.05)/0.65</f>
        <v>9.2554440403362914</v>
      </c>
      <c r="J6" s="99">
        <f>COUNTIF(I:I,"&gt;"&amp;I6)+1</f>
        <v>5</v>
      </c>
      <c r="K6" s="5" t="str">
        <f>VLOOKUP(A6,$R:$T,3,FALSE())</f>
        <v>RD</v>
      </c>
      <c r="L6" s="73"/>
      <c r="M6" s="73"/>
      <c r="N6" s="73"/>
      <c r="O6" s="3" t="s">
        <v>21</v>
      </c>
      <c r="P6" s="78"/>
      <c r="R6" s="88" t="s">
        <v>21</v>
      </c>
      <c r="S6" s="91" t="s">
        <v>14</v>
      </c>
      <c r="T6" s="6" t="s">
        <v>16</v>
      </c>
    </row>
    <row r="7" spans="1:32" ht="18.75" customHeight="1">
      <c r="A7" s="3" t="s">
        <v>28</v>
      </c>
      <c r="B7" s="7" t="str">
        <f>VLOOKUP(A7,R:S,2,FALSE)</f>
        <v>站内营销</v>
      </c>
      <c r="C7" s="5" t="s">
        <v>22</v>
      </c>
      <c r="D7" s="78">
        <f>VLOOKUP(A7,'OHT执行（30%）'!$A:$G,7,FALSE)</f>
        <v>8.9116972550469491</v>
      </c>
      <c r="E7" s="78">
        <f>VLOOKUP(A7,'保障-(10%)'!$A:$G,7,FALSE)</f>
        <v>8.3541741218173193</v>
      </c>
      <c r="F7" s="78">
        <f>IFERROR(VLOOKUP(A7,'影响力-(10%)'!$A$1:$E$55,5,FALSE),AVERAGE('影响力-(10%)'!$E$2:$E$55))</f>
        <v>10</v>
      </c>
      <c r="G7" s="78">
        <f>VLOOKUP(A7,'努力度(10%)'!$A$1:$C$62,3,FALSE)</f>
        <v>9.6999999999999993</v>
      </c>
      <c r="H7" s="78">
        <f>VLOOKUP(A7,'系统价值分（5%）'!A:D,4,FALSE)</f>
        <v>10</v>
      </c>
      <c r="I7" s="83">
        <f>(0.3*D7+0.1*E7+0.1*F7+0.1*G7+H7*0.05)/0.65</f>
        <v>9.1983485979935633</v>
      </c>
      <c r="J7" s="99">
        <f>COUNTIF(I:I,"&gt;"&amp;I7)+1</f>
        <v>6</v>
      </c>
      <c r="K7" s="5" t="str">
        <f>VLOOKUP(A7,$R:$T,3,FALSE())</f>
        <v>RD</v>
      </c>
      <c r="O7" s="3" t="s">
        <v>31</v>
      </c>
      <c r="P7" s="78"/>
      <c r="R7" s="88" t="s">
        <v>32</v>
      </c>
      <c r="S7" s="91" t="s">
        <v>19</v>
      </c>
      <c r="T7" s="6" t="s">
        <v>33</v>
      </c>
    </row>
    <row r="8" spans="1:32" ht="18.75" customHeight="1">
      <c r="A8" s="3" t="s">
        <v>41</v>
      </c>
      <c r="B8" s="12" t="str">
        <f>VLOOKUP(A8,R:S,2,FALSE)</f>
        <v>站台</v>
      </c>
      <c r="C8" s="5" t="s">
        <v>22</v>
      </c>
      <c r="D8" s="78">
        <f>VLOOKUP(A8,'OHT执行（30%）'!$A:$G,7,FALSE)</f>
        <v>9.1951418663734259</v>
      </c>
      <c r="E8" s="78">
        <f>VLOOKUP(A8,'保障-(10%)'!$A:$G,7,FALSE)</f>
        <v>8.1999999999999993</v>
      </c>
      <c r="F8" s="78">
        <f>IFERROR(VLOOKUP(A8,'影响力-(10%)'!$A$1:$E$55,5,FALSE),AVERAGE('影响力-(10%)'!$E$2:$E$55))</f>
        <v>10</v>
      </c>
      <c r="G8" s="78">
        <f>VLOOKUP(A8,'努力度(10%)'!$A$1:$C$62,3,FALSE)</f>
        <v>10</v>
      </c>
      <c r="H8" s="78">
        <f>VLOOKUP(A8,'系统价值分（5%）'!A:D,4,FALSE)</f>
        <v>8</v>
      </c>
      <c r="I8" s="83">
        <f>(0.3*D8+0.1*E8+0.1*F8+0.1*G8+H8*0.05)/0.65</f>
        <v>9.1977577844800429</v>
      </c>
      <c r="J8" s="99">
        <f>COUNTIF(I:I,"&gt;"&amp;I8)+1</f>
        <v>7</v>
      </c>
      <c r="K8" s="5" t="str">
        <f>VLOOKUP(A8,$R:$T,3,FALSE())</f>
        <v>FE</v>
      </c>
      <c r="L8" s="73"/>
      <c r="M8" s="73"/>
      <c r="N8" s="73"/>
      <c r="O8" s="3" t="s">
        <v>37</v>
      </c>
      <c r="P8" s="78"/>
      <c r="R8" s="88" t="s">
        <v>38</v>
      </c>
      <c r="S8" s="91" t="s">
        <v>30</v>
      </c>
      <c r="T8" s="6" t="s">
        <v>33</v>
      </c>
    </row>
    <row r="9" spans="1:32" ht="18.75" customHeight="1">
      <c r="A9" s="3" t="s">
        <v>31</v>
      </c>
      <c r="B9" s="12" t="str">
        <f>VLOOKUP(A9,R:S,2,FALSE)</f>
        <v>站台</v>
      </c>
      <c r="C9" s="5" t="s">
        <v>22</v>
      </c>
      <c r="D9" s="78">
        <f>VLOOKUP(A9,'OHT执行（30%）'!$A:$G,7,FALSE)</f>
        <v>9.1831138373042052</v>
      </c>
      <c r="E9" s="78">
        <f>VLOOKUP(A9,'保障-(10%)'!$A:$G,7,FALSE)</f>
        <v>8.1999999999999993</v>
      </c>
      <c r="F9" s="78">
        <f>IFERROR(VLOOKUP(A9,'影响力-(10%)'!$A$1:$E$55,5,FALSE),AVERAGE('影响力-(10%)'!$E$2:$E$55))</f>
        <v>10</v>
      </c>
      <c r="G9" s="78">
        <f>VLOOKUP(A9,'努力度(10%)'!$A$1:$C$62,3,FALSE)</f>
        <v>10</v>
      </c>
      <c r="H9" s="78">
        <f>VLOOKUP(A9,'系统价值分（5%）'!A:D,4,FALSE)</f>
        <v>8</v>
      </c>
      <c r="I9" s="83">
        <f>(0.3*D9+0.1*E9+0.1*F9+0.1*G9+H9*0.05)/0.65</f>
        <v>9.1922063864480936</v>
      </c>
      <c r="J9" s="99">
        <f>COUNTIF(I:I,"&gt;"&amp;I9)+1</f>
        <v>8</v>
      </c>
      <c r="K9" s="5" t="str">
        <f>VLOOKUP(A9,$R:$T,3,FALSE())</f>
        <v>FE</v>
      </c>
      <c r="L9" s="73"/>
      <c r="M9" s="73"/>
      <c r="N9" s="73"/>
      <c r="O9" s="3" t="s">
        <v>29</v>
      </c>
      <c r="P9" s="78"/>
      <c r="R9" s="88" t="s">
        <v>39</v>
      </c>
      <c r="S9" s="91" t="s">
        <v>30</v>
      </c>
      <c r="T9" s="6" t="s">
        <v>36</v>
      </c>
    </row>
    <row r="10" spans="1:32" ht="18.75" customHeight="1">
      <c r="A10" s="3" t="s">
        <v>65</v>
      </c>
      <c r="B10" s="12" t="str">
        <f>VLOOKUP(A10,R:S,2,FALSE)</f>
        <v>站台</v>
      </c>
      <c r="C10" s="5" t="s">
        <v>22</v>
      </c>
      <c r="D10" s="78">
        <f>VLOOKUP(A10,'OHT执行（30%）'!$A:$G,7,FALSE)</f>
        <v>9.0426132275785847</v>
      </c>
      <c r="E10" s="78">
        <f>VLOOKUP(A10,'保障-(10%)'!$A:$G,7,FALSE)</f>
        <v>8.1259523094193806</v>
      </c>
      <c r="F10" s="78">
        <f>IFERROR(VLOOKUP(A10,'影响力-(10%)'!$A$1:$E$55,5,FALSE),AVERAGE('影响力-(10%)'!$E$2:$E$55))</f>
        <v>10</v>
      </c>
      <c r="G10" s="78">
        <f>VLOOKUP(A10,'努力度(10%)'!$A$1:$C$62,3,FALSE)</f>
        <v>9.7399999999999984</v>
      </c>
      <c r="H10" s="78">
        <f>VLOOKUP(A10,'系统价值分（5%）'!A:D,4,FALSE)</f>
        <v>9.4899999999999984</v>
      </c>
      <c r="I10" s="83">
        <f>(0.3*D10+0.1*E10+0.1*F10+0.1*G10+H10*0.05)/0.65</f>
        <v>9.190583383408482</v>
      </c>
      <c r="J10" s="99">
        <f>COUNTIF(I:I,"&gt;"&amp;I10)+1</f>
        <v>9</v>
      </c>
      <c r="K10" s="5" t="str">
        <f>VLOOKUP(A10,$R:$T,3,FALSE())</f>
        <v>RD</v>
      </c>
      <c r="L10" s="73"/>
      <c r="M10" s="73"/>
      <c r="N10" s="73"/>
      <c r="O10" s="3" t="s">
        <v>41</v>
      </c>
      <c r="P10" s="78"/>
      <c r="R10" s="88" t="s">
        <v>42</v>
      </c>
      <c r="S10" s="91" t="s">
        <v>14</v>
      </c>
      <c r="T10" s="6" t="s">
        <v>36</v>
      </c>
    </row>
    <row r="11" spans="1:32" ht="18.75" customHeight="1">
      <c r="A11" s="2" t="s">
        <v>13</v>
      </c>
      <c r="B11" s="8" t="str">
        <f>VLOOKUP(A11,R:S,2,FALSE)</f>
        <v>学科工具</v>
      </c>
      <c r="C11" s="5" t="s">
        <v>15</v>
      </c>
      <c r="D11" s="78">
        <f>VLOOKUP(A11,'OHT执行（30%）'!$A:$G,7,FALSE)</f>
        <v>8.9094506131144957</v>
      </c>
      <c r="E11" s="78">
        <f>VLOOKUP(A11,'保障-(10%)'!$A:$G,7,FALSE)</f>
        <v>7.90173083590643</v>
      </c>
      <c r="F11" s="78">
        <f>IFERROR(VLOOKUP(A11,'影响力-(10%)'!$A$1:$E$55,5,FALSE),AVERAGE('影响力-(10%)'!$E$2:$E$55))</f>
        <v>10</v>
      </c>
      <c r="G11" s="78">
        <f>VLOOKUP(A11,'努力度(10%)'!$A$1:$C$62,3,FALSE)</f>
        <v>10</v>
      </c>
      <c r="H11" s="78">
        <f>VLOOKUP(A11,'系统价值分（5%）'!A:D,4,FALSE)</f>
        <v>10</v>
      </c>
      <c r="I11" s="83">
        <f>(0.3*D11+0.1*E11+0.1*F11+0.1*G11+H11*0.05)/0.65</f>
        <v>9.1738588731153712</v>
      </c>
      <c r="J11" s="99">
        <f>COUNTIF(I:I,"&gt;"&amp;I11)+1</f>
        <v>10</v>
      </c>
      <c r="K11" s="5" t="str">
        <f>VLOOKUP(A11,$R:$T,3,FALSE())</f>
        <v>RD</v>
      </c>
      <c r="O11" s="3" t="s">
        <v>44</v>
      </c>
      <c r="P11" s="78"/>
      <c r="R11" s="88" t="s">
        <v>45</v>
      </c>
      <c r="S11" s="91" t="s">
        <v>19</v>
      </c>
      <c r="T11" s="6" t="s">
        <v>20</v>
      </c>
    </row>
    <row r="12" spans="1:32" ht="18.75" customHeight="1">
      <c r="A12" s="3" t="s">
        <v>75</v>
      </c>
      <c r="B12" s="9" t="str">
        <f>VLOOKUP(A12,R:S,2,FALSE)</f>
        <v>学员旅程</v>
      </c>
      <c r="C12" s="5" t="s">
        <v>22</v>
      </c>
      <c r="D12" s="78">
        <f>VLOOKUP(A12,'OHT执行（30%）'!$A:$G,7,FALSE)</f>
        <v>9.1354792477575462</v>
      </c>
      <c r="E12" s="78">
        <f>VLOOKUP(A12,'保障-(10%)'!$A:$G,7,FALSE)</f>
        <v>8.1999999999999993</v>
      </c>
      <c r="F12" s="78">
        <f>IFERROR(VLOOKUP(A12,'影响力-(10%)'!$A$1:$E$55,5,FALSE),AVERAGE('影响力-(10%)'!$E$2:$E$55))</f>
        <v>10</v>
      </c>
      <c r="G12" s="78">
        <f>VLOOKUP(A12,'努力度(10%)'!$A$1:$C$62,3,FALSE)</f>
        <v>9.82</v>
      </c>
      <c r="H12" s="78">
        <f>VLOOKUP(A12,'系统价值分（5%）'!A:D,4,FALSE)</f>
        <v>8</v>
      </c>
      <c r="I12" s="83">
        <f>(0.3*D12+0.1*E12+0.1*F12+0.1*G12+H12*0.05)/0.65</f>
        <v>9.1425288835804057</v>
      </c>
      <c r="J12" s="99">
        <f>COUNTIF(I:I,"&gt;"&amp;I12)+1</f>
        <v>11</v>
      </c>
      <c r="K12" s="5" t="str">
        <f>VLOOKUP(A12,$R:$T,3,FALSE())</f>
        <v>FE</v>
      </c>
      <c r="O12" s="3" t="s">
        <v>34</v>
      </c>
      <c r="P12" s="78"/>
      <c r="R12" s="88" t="s">
        <v>46</v>
      </c>
      <c r="S12" s="91" t="s">
        <v>19</v>
      </c>
      <c r="T12" s="6" t="s">
        <v>36</v>
      </c>
    </row>
    <row r="13" spans="1:32" ht="18.75" customHeight="1">
      <c r="A13" s="3" t="s">
        <v>37</v>
      </c>
      <c r="B13" s="12" t="str">
        <f>VLOOKUP(A13,R:S,2,FALSE)</f>
        <v>三方能力</v>
      </c>
      <c r="C13" s="5" t="s">
        <v>22</v>
      </c>
      <c r="D13" s="78">
        <f>VLOOKUP(A13,'OHT执行（30%）'!$A:$G,7,FALSE)</f>
        <v>8.8328006741716045</v>
      </c>
      <c r="E13" s="78">
        <f>VLOOKUP(A13,'保障-(10%)'!$A:$G,7,FALSE)</f>
        <v>7.8335923391118296</v>
      </c>
      <c r="F13" s="78">
        <f>IFERROR(VLOOKUP(A13,'影响力-(10%)'!$A$1:$E$55,5,FALSE),AVERAGE('影响力-(10%)'!$E$2:$E$55))</f>
        <v>10</v>
      </c>
      <c r="G13" s="78">
        <f>VLOOKUP(A13,'努力度(10%)'!$A$1:$C$62,3,FALSE)</f>
        <v>9.36</v>
      </c>
      <c r="H13" s="78">
        <f>VLOOKUP(A13,'系统价值分（5%）'!A:D,4,FALSE)</f>
        <v>10</v>
      </c>
      <c r="I13" s="83">
        <f>(0.3*D13+0.1*E13+0.1*F13+0.1*G13+H13*0.05)/0.65</f>
        <v>9.0295375940964071</v>
      </c>
      <c r="J13" s="99">
        <f>COUNTIF(I:I,"&gt;"&amp;I13)+1</f>
        <v>12</v>
      </c>
      <c r="K13" s="5" t="str">
        <f>VLOOKUP(A13,$R:$T,3,FALSE())</f>
        <v>PM</v>
      </c>
      <c r="O13" s="3" t="s">
        <v>40</v>
      </c>
      <c r="P13" s="78"/>
      <c r="R13" s="88" t="s">
        <v>13</v>
      </c>
      <c r="S13" s="91" t="s">
        <v>14</v>
      </c>
      <c r="T13" s="6" t="s">
        <v>16</v>
      </c>
    </row>
    <row r="14" spans="1:32" ht="18.75" customHeight="1">
      <c r="A14" s="3" t="s">
        <v>34</v>
      </c>
      <c r="B14" s="11" t="str">
        <f>VLOOKUP(A14,R:S,2,FALSE)</f>
        <v>三教服务</v>
      </c>
      <c r="C14" s="5" t="s">
        <v>22</v>
      </c>
      <c r="D14" s="78">
        <f>VLOOKUP(A14,'OHT执行（30%）'!$A:$G,7,FALSE)</f>
        <v>8.7077330140350373</v>
      </c>
      <c r="E14" s="78">
        <f>VLOOKUP(A14,'保障-(10%)'!$A:$G,7,FALSE)</f>
        <v>8.4781126054949105</v>
      </c>
      <c r="F14" s="78">
        <f>IFERROR(VLOOKUP(A14,'影响力-(10%)'!$A$1:$E$55,5,FALSE),AVERAGE('影响力-(10%)'!$E$2:$E$55))</f>
        <v>10</v>
      </c>
      <c r="G14" s="78">
        <f>VLOOKUP(A14,'努力度(10%)'!$A$1:$C$62,3,FALSE)</f>
        <v>10</v>
      </c>
      <c r="H14" s="78">
        <f>VLOOKUP(A14,'系统价值分（5%）'!A:D,4,FALSE)</f>
        <v>8</v>
      </c>
      <c r="I14" s="83">
        <f>(0.3*D14+0.1*E14+0.1*F14+0.1*G14+H14*0.05)/0.65</f>
        <v>9.0155864073230791</v>
      </c>
      <c r="J14" s="99">
        <f>COUNTIF(I:I,"&gt;"&amp;I14)+1</f>
        <v>13</v>
      </c>
      <c r="K14" s="5" t="str">
        <f>VLOOKUP(A14,$R:$T,3,FALSE())</f>
        <v>QA</v>
      </c>
      <c r="O14" s="3" t="s">
        <v>43</v>
      </c>
      <c r="P14" s="78"/>
      <c r="R14" s="88" t="s">
        <v>17</v>
      </c>
      <c r="S14" s="91" t="s">
        <v>19</v>
      </c>
      <c r="T14" s="6" t="s">
        <v>16</v>
      </c>
    </row>
    <row r="15" spans="1:32" ht="18.75" customHeight="1">
      <c r="A15" s="3" t="s">
        <v>32</v>
      </c>
      <c r="B15" s="7" t="str">
        <f>VLOOKUP(A15,R:S,2,FALSE)</f>
        <v>站内营销</v>
      </c>
      <c r="C15" s="5" t="s">
        <v>22</v>
      </c>
      <c r="D15" s="78">
        <f>VLOOKUP(A15,'OHT执行（30%）'!$A:$G,7,FALSE)</f>
        <v>9.1608643600313009</v>
      </c>
      <c r="E15" s="78">
        <f>VLOOKUP(A15,'保障-(10%)'!$A:$G,7,FALSE)</f>
        <v>8.0424857039422193</v>
      </c>
      <c r="F15" s="78">
        <f>IFERROR(VLOOKUP(A15,'影响力-(10%)'!$A$1:$E$55,5,FALSE),AVERAGE('影响力-(10%)'!$E$2:$E$55))</f>
        <v>10</v>
      </c>
      <c r="G15" s="78">
        <f>VLOOKUP(A15,'努力度(10%)'!$A$1:$C$62,3,FALSE)</f>
        <v>8</v>
      </c>
      <c r="H15" s="78">
        <f>VLOOKUP(A15,'系统价值分（5%）'!A:D,4,FALSE)</f>
        <v>10</v>
      </c>
      <c r="I15" s="83">
        <f>(0.3*D15+0.1*E15+0.1*F15+0.1*G15+H15*0.05)/0.65</f>
        <v>9.0038582744670936</v>
      </c>
      <c r="J15" s="99">
        <f>COUNTIF(I:I,"&gt;"&amp;I15)+1</f>
        <v>14</v>
      </c>
      <c r="K15" s="5" t="str">
        <f>VLOOKUP(A15,$R:$T,3,FALSE())</f>
        <v>PM</v>
      </c>
      <c r="O15" s="3" t="s">
        <v>32</v>
      </c>
      <c r="P15" s="78"/>
      <c r="R15" s="88" t="s">
        <v>49</v>
      </c>
      <c r="S15" s="91" t="s">
        <v>14</v>
      </c>
      <c r="T15" s="6" t="s">
        <v>20</v>
      </c>
    </row>
    <row r="16" spans="1:32" ht="18.75" customHeight="1">
      <c r="A16" s="3" t="s">
        <v>64</v>
      </c>
      <c r="B16" s="11" t="str">
        <f>VLOOKUP(A16,R:S,2,FALSE)</f>
        <v>三教服务</v>
      </c>
      <c r="C16" s="5" t="s">
        <v>22</v>
      </c>
      <c r="D16" s="78">
        <f>VLOOKUP(A16,'OHT执行（30%）'!$A:$G,7,FALSE)</f>
        <v>8.7850161823287944</v>
      </c>
      <c r="E16" s="78">
        <f>VLOOKUP(A16,'保障-(10%)'!$A:$G,7,FALSE)</f>
        <v>8.0419905978553903</v>
      </c>
      <c r="F16" s="78">
        <f>IFERROR(VLOOKUP(A16,'影响力-(10%)'!$A$1:$E$55,5,FALSE),AVERAGE('影响力-(10%)'!$E$2:$E$55))</f>
        <v>10</v>
      </c>
      <c r="G16" s="78">
        <f>VLOOKUP(A16,'努力度(10%)'!$A$1:$C$62,3,FALSE)</f>
        <v>10</v>
      </c>
      <c r="H16" s="78">
        <f>VLOOKUP(A16,'系统价值分（5%）'!A:D,4,FALSE)</f>
        <v>8</v>
      </c>
      <c r="I16" s="83">
        <f>(0.3*D16+0.1*E16+0.1*F16+0.1*G16+H16*0.05)/0.65</f>
        <v>8.9841598684371959</v>
      </c>
      <c r="J16" s="99">
        <f>COUNTIF(I:I,"&gt;"&amp;I16)+1</f>
        <v>15</v>
      </c>
      <c r="K16" s="5" t="str">
        <f>VLOOKUP(A16,$R:$T,3,FALSE())</f>
        <v>RD</v>
      </c>
      <c r="O16" s="3" t="s">
        <v>46</v>
      </c>
      <c r="P16" s="78"/>
      <c r="R16" s="88" t="s">
        <v>43</v>
      </c>
      <c r="S16" s="91" t="s">
        <v>19</v>
      </c>
      <c r="T16" s="6" t="s">
        <v>20</v>
      </c>
    </row>
    <row r="17" spans="1:20" ht="18.75" customHeight="1">
      <c r="A17" s="2" t="s">
        <v>48</v>
      </c>
      <c r="B17" s="7" t="str">
        <f>VLOOKUP(A17,R:S,2,FALSE)</f>
        <v>站内营销</v>
      </c>
      <c r="C17" s="5" t="s">
        <v>15</v>
      </c>
      <c r="D17" s="78">
        <f>VLOOKUP(A17,'OHT执行（30%）'!$A:$G,7,FALSE)</f>
        <v>8.988496136466166</v>
      </c>
      <c r="E17" s="78">
        <f>VLOOKUP(A17,'保障-(10%)'!$A:$G,7,FALSE)</f>
        <v>8.0424857039422193</v>
      </c>
      <c r="F17" s="78">
        <f>IFERROR(VLOOKUP(A17,'影响力-(10%)'!$A$1:$E$55,5,FALSE),AVERAGE('影响力-(10%)'!$E$2:$E$55))</f>
        <v>10</v>
      </c>
      <c r="G17" s="78">
        <f>VLOOKUP(A17,'努力度(10%)'!$A$1:$C$62,3,FALSE)</f>
        <v>8.2600000000000016</v>
      </c>
      <c r="H17" s="78">
        <f>VLOOKUP(A17,'系统价值分（5%）'!A:D,4,FALSE)</f>
        <v>10</v>
      </c>
      <c r="I17" s="83">
        <f>(0.3*D17+0.1*E17+0.1*F17+0.1*G17+H17*0.05)/0.65</f>
        <v>8.9643037097447262</v>
      </c>
      <c r="J17" s="99">
        <f>COUNTIF(I:I,"&gt;"&amp;I17)+1</f>
        <v>16</v>
      </c>
      <c r="K17" s="5" t="str">
        <f>VLOOKUP(A17,$R:$T,3,FALSE())</f>
        <v>FE</v>
      </c>
      <c r="O17" s="2" t="s">
        <v>48</v>
      </c>
      <c r="P17" s="78"/>
      <c r="R17" s="88" t="s">
        <v>51</v>
      </c>
      <c r="S17" s="91" t="s">
        <v>52</v>
      </c>
      <c r="T17" s="6" t="s">
        <v>36</v>
      </c>
    </row>
    <row r="18" spans="1:20" ht="18.75" customHeight="1">
      <c r="A18" s="3" t="s">
        <v>61</v>
      </c>
      <c r="B18" s="8" t="str">
        <f>VLOOKUP(A18,R:S,2,FALSE)</f>
        <v>学科工具</v>
      </c>
      <c r="C18" s="5" t="s">
        <v>22</v>
      </c>
      <c r="D18" s="78">
        <f>VLOOKUP(A18,'OHT执行（30%）'!$A:$G,7,FALSE)</f>
        <v>8.8124980477796306</v>
      </c>
      <c r="E18" s="78">
        <f>VLOOKUP(A18,'保障-(10%)'!$A:$G,7,FALSE)</f>
        <v>7.90173083590643</v>
      </c>
      <c r="F18" s="78">
        <f>IFERROR(VLOOKUP(A18,'影响力-(10%)'!$A$1:$E$55,5,FALSE),AVERAGE('影响力-(10%)'!$E$2:$E$55))</f>
        <v>10</v>
      </c>
      <c r="G18" s="78">
        <f>VLOOKUP(A18,'努力度(10%)'!$A$1:$C$62,3,FALSE)</f>
        <v>8.9200000000000017</v>
      </c>
      <c r="H18" s="78">
        <f>VLOOKUP(A18,'系统价值分（5%）'!A:D,4,FALSE)</f>
        <v>10</v>
      </c>
      <c r="I18" s="83">
        <f>(0.3*D18+0.1*E18+0.1*F18+0.1*G18+H18*0.05)/0.65</f>
        <v>8.9629576891146652</v>
      </c>
      <c r="J18" s="99">
        <f>COUNTIF(I:I,"&gt;"&amp;I18)+1</f>
        <v>17</v>
      </c>
      <c r="K18" s="5" t="str">
        <f>VLOOKUP(A18,$R:$T,3,FALSE())</f>
        <v>PM</v>
      </c>
      <c r="O18" s="3" t="s">
        <v>53</v>
      </c>
      <c r="P18" s="78"/>
      <c r="R18" s="88" t="s">
        <v>54</v>
      </c>
      <c r="S18" s="91" t="s">
        <v>30</v>
      </c>
      <c r="T18" s="6" t="s">
        <v>20</v>
      </c>
    </row>
    <row r="19" spans="1:20" ht="18.75" customHeight="1">
      <c r="A19" s="3" t="s">
        <v>53</v>
      </c>
      <c r="B19" s="12" t="str">
        <f>VLOOKUP(A19,R:S,2,FALSE)</f>
        <v>站台</v>
      </c>
      <c r="C19" s="5" t="s">
        <v>22</v>
      </c>
      <c r="D19" s="78">
        <f>VLOOKUP(A19,'OHT执行（30%）'!$A:$G,7,FALSE)</f>
        <v>8.832618927349511</v>
      </c>
      <c r="E19" s="78">
        <f>VLOOKUP(A19,'保障-(10%)'!$A:$G,7,FALSE)</f>
        <v>8.1999999999999993</v>
      </c>
      <c r="F19" s="78">
        <f>IFERROR(VLOOKUP(A19,'影响力-(10%)'!$A$1:$E$55,5,FALSE),AVERAGE('影响力-(10%)'!$E$2:$E$55))</f>
        <v>10</v>
      </c>
      <c r="G19" s="78">
        <f>VLOOKUP(A19,'努力度(10%)'!$A$1:$C$62,3,FALSE)</f>
        <v>9.32</v>
      </c>
      <c r="H19" s="78">
        <f>VLOOKUP(A19,'系统价值分（5%）'!A:D,4,FALSE)</f>
        <v>8</v>
      </c>
      <c r="I19" s="83">
        <f>(0.3*D19+0.1*E19+0.1*F19+0.1*G19+H19*0.05)/0.65</f>
        <v>8.9258241203151591</v>
      </c>
      <c r="J19" s="99">
        <f>COUNTIF(I:I,"&gt;"&amp;I19)+1</f>
        <v>18</v>
      </c>
      <c r="K19" s="5" t="str">
        <f>VLOOKUP(A19,$R:$T,3,FALSE())</f>
        <v>PM</v>
      </c>
      <c r="L19" s="73"/>
      <c r="M19" s="73"/>
      <c r="N19" s="73"/>
      <c r="O19" s="3" t="s">
        <v>18</v>
      </c>
      <c r="P19" s="78"/>
      <c r="R19" s="88" t="s">
        <v>47</v>
      </c>
      <c r="S19" s="91" t="s">
        <v>30</v>
      </c>
      <c r="T19" s="6" t="s">
        <v>16</v>
      </c>
    </row>
    <row r="20" spans="1:20" ht="18.75" customHeight="1">
      <c r="A20" s="3" t="s">
        <v>39</v>
      </c>
      <c r="B20" s="10" t="str">
        <f>VLOOKUP(A20,R:S,2,FALSE)</f>
        <v>三方能力</v>
      </c>
      <c r="C20" s="5" t="s">
        <v>22</v>
      </c>
      <c r="D20" s="78">
        <f>VLOOKUP(A20,'OHT执行（30%）'!$A:$G,7,FALSE)</f>
        <v>8.3194965717674911</v>
      </c>
      <c r="E20" s="78">
        <f>VLOOKUP(A20,'保障-(10%)'!$A:$G,7,FALSE)</f>
        <v>8.60435648125355</v>
      </c>
      <c r="F20" s="78">
        <f>IFERROR(VLOOKUP(A20,'影响力-(10%)'!$A$1:$E$55,5,FALSE),AVERAGE('影响力-(10%)'!$E$2:$E$55))</f>
        <v>10</v>
      </c>
      <c r="G20" s="78">
        <f>VLOOKUP(A20,'努力度(10%)'!$A$1:$C$62,3,FALSE)</f>
        <v>9.18</v>
      </c>
      <c r="H20" s="78">
        <f>VLOOKUP(A20,'系统价值分（5%）'!A:D,4,FALSE)</f>
        <v>10</v>
      </c>
      <c r="I20" s="83">
        <f>(0.3*D20+0.1*E20+0.1*F20+0.1*G20+H20*0.05)/0.65</f>
        <v>8.8835147994701575</v>
      </c>
      <c r="J20" s="99">
        <f>COUNTIF(I:I,"&gt;"&amp;I20)+1</f>
        <v>19</v>
      </c>
      <c r="K20" s="5" t="str">
        <f>VLOOKUP(A20,$R:$T,3,FALSE())</f>
        <v>QA</v>
      </c>
      <c r="O20" s="3" t="s">
        <v>57</v>
      </c>
      <c r="P20" s="78"/>
      <c r="R20" s="88" t="s">
        <v>48</v>
      </c>
      <c r="S20" s="91" t="s">
        <v>19</v>
      </c>
      <c r="T20" s="6" t="s">
        <v>20</v>
      </c>
    </row>
    <row r="21" spans="1:20" ht="18.75" customHeight="1">
      <c r="A21" s="3" t="s">
        <v>29</v>
      </c>
      <c r="B21" s="10" t="str">
        <f>VLOOKUP(A21,R:S,2,FALSE)</f>
        <v>三方能力</v>
      </c>
      <c r="C21" s="5" t="s">
        <v>22</v>
      </c>
      <c r="D21" s="78">
        <f>VLOOKUP(A21,'OHT执行（30%）'!$A:$G,7,FALSE)</f>
        <v>8.822752199423963</v>
      </c>
      <c r="E21" s="78">
        <f>VLOOKUP(A21,'保障-(10%)'!$A:$G,7,FALSE)</f>
        <v>7.8335923391118296</v>
      </c>
      <c r="F21" s="78">
        <f>IFERROR(VLOOKUP(A21,'影响力-(10%)'!$A$1:$E$55,5,FALSE),AVERAGE('影响力-(10%)'!$E$2:$E$55))</f>
        <v>10</v>
      </c>
      <c r="G21" s="78">
        <f>VLOOKUP(A21,'努力度(10%)'!$A$1:$C$62,3,FALSE)</f>
        <v>8.120000000000001</v>
      </c>
      <c r="H21" s="78">
        <f>VLOOKUP(A21,'系统价值分（5%）'!A:D,4,FALSE)</f>
        <v>10</v>
      </c>
      <c r="I21" s="83">
        <f>(0.3*D21+0.1*E21+0.1*F21+0.1*G21+H21*0.05)/0.65</f>
        <v>8.8341306057513407</v>
      </c>
      <c r="J21" s="99">
        <f>COUNTIF(I:I,"&gt;"&amp;I21)+1</f>
        <v>20</v>
      </c>
      <c r="K21" s="5" t="str">
        <f>VLOOKUP(A21,$R:$T,3,FALSE())</f>
        <v>RD</v>
      </c>
      <c r="O21" s="2" t="s">
        <v>55</v>
      </c>
      <c r="P21" s="78"/>
      <c r="R21" s="88" t="s">
        <v>58</v>
      </c>
      <c r="S21" s="91" t="s">
        <v>52</v>
      </c>
      <c r="T21" s="6" t="s">
        <v>16</v>
      </c>
    </row>
    <row r="22" spans="1:20" ht="18.75" customHeight="1">
      <c r="A22" s="3" t="s">
        <v>63</v>
      </c>
      <c r="B22" s="9" t="str">
        <f>VLOOKUP(A22,R:S,2,FALSE)</f>
        <v>学员旅程</v>
      </c>
      <c r="C22" s="5" t="s">
        <v>22</v>
      </c>
      <c r="D22" s="78">
        <f>VLOOKUP(A22,'OHT执行（30%）'!$A:$G,7,FALSE)</f>
        <v>9.5034579560289494</v>
      </c>
      <c r="E22" s="78">
        <f>VLOOKUP(A22,'保障-(10%)'!$A:$G,7,FALSE)</f>
        <v>8</v>
      </c>
      <c r="F22" s="78">
        <f>IFERROR(VLOOKUP(A22,'影响力-(10%)'!$A$1:$E$55,5,FALSE),AVERAGE('影响力-(10%)'!$E$2:$E$55))</f>
        <v>10</v>
      </c>
      <c r="G22" s="78">
        <f>VLOOKUP(A22,'努力度(10%)'!$A$1:$C$62,3,FALSE)</f>
        <v>6.879999999999999</v>
      </c>
      <c r="H22" s="78">
        <f>VLOOKUP(A22,'系统价值分（5%）'!A:D,4,FALSE)</f>
        <v>8</v>
      </c>
      <c r="I22" s="83">
        <f>(0.3*D22+0.1*E22+0.1*F22+0.1*G22+H22*0.05)/0.65</f>
        <v>8.8292882873979774</v>
      </c>
      <c r="J22" s="99">
        <f>COUNTIF(I:I,"&gt;"&amp;I22)+1</f>
        <v>21</v>
      </c>
      <c r="K22" s="5" t="str">
        <f>VLOOKUP(A22,$R:$T,3,FALSE())</f>
        <v>PM</v>
      </c>
      <c r="O22" s="3" t="s">
        <v>47</v>
      </c>
      <c r="P22" s="78"/>
      <c r="R22" s="88" t="s">
        <v>57</v>
      </c>
      <c r="S22" s="91" t="s">
        <v>35</v>
      </c>
      <c r="T22" s="6" t="s">
        <v>16</v>
      </c>
    </row>
    <row r="23" spans="1:20" ht="18.75" customHeight="1">
      <c r="A23" s="2" t="s">
        <v>77</v>
      </c>
      <c r="B23" s="4" t="str">
        <f>VLOOKUP(A23,R:S,2,FALSE)</f>
        <v>督导学</v>
      </c>
      <c r="C23" s="5" t="s">
        <v>15</v>
      </c>
      <c r="D23" s="78">
        <f>VLOOKUP(A23,'OHT执行（30%）'!$A:$G,7,FALSE)</f>
        <v>8.441566330987218</v>
      </c>
      <c r="E23" s="78">
        <f>VLOOKUP(A23,'保障-(10%)'!$A:$G,7,FALSE)</f>
        <v>8.0824609103654392</v>
      </c>
      <c r="F23" s="78">
        <f>IFERROR(VLOOKUP(A23,'影响力-(10%)'!$A$1:$E$55,5,FALSE),AVERAGE('影响力-(10%)'!$E$2:$E$55))</f>
        <v>10</v>
      </c>
      <c r="G23" s="78">
        <f>VLOOKUP(A23,'努力度(10%)'!$A$1:$C$62,3,FALSE)</f>
        <v>9.16</v>
      </c>
      <c r="H23" s="78">
        <f>VLOOKUP(A23,'系统价值分（5%）'!A:D,4,FALSE)</f>
        <v>9.4899999999999984</v>
      </c>
      <c r="I23" s="83">
        <f>(0.3*D23+0.1*E23+0.1*F23+0.1*G23+H23*0.05)/0.65</f>
        <v>8.8172553697426306</v>
      </c>
      <c r="J23" s="99">
        <f>COUNTIF(I:I,"&gt;"&amp;I23)+1</f>
        <v>22</v>
      </c>
      <c r="K23" s="5" t="str">
        <f>VLOOKUP(A23,$R:$T,3,FALSE())</f>
        <v>FE</v>
      </c>
      <c r="O23" s="3" t="s">
        <v>42</v>
      </c>
      <c r="P23" s="78"/>
      <c r="R23" s="88" t="s">
        <v>59</v>
      </c>
      <c r="S23" s="91" t="s">
        <v>52</v>
      </c>
      <c r="T23" s="6" t="s">
        <v>20</v>
      </c>
    </row>
    <row r="24" spans="1:20" ht="18.75" customHeight="1">
      <c r="A24" s="3" t="s">
        <v>26</v>
      </c>
      <c r="B24" s="9" t="str">
        <f>VLOOKUP(A24,R:S,2,FALSE)</f>
        <v>学员旅程</v>
      </c>
      <c r="C24" s="5" t="s">
        <v>22</v>
      </c>
      <c r="D24" s="78">
        <f>VLOOKUP(A24,'OHT执行（30%）'!$A:$G,7,FALSE)</f>
        <v>8.6763752711170365</v>
      </c>
      <c r="E24" s="78">
        <f>VLOOKUP(A24,'保障-(10%)'!$A:$G,7,FALSE)</f>
        <v>7.30443979337758</v>
      </c>
      <c r="F24" s="78">
        <f>IFERROR(VLOOKUP(A24,'影响力-(10%)'!$A$1:$E$55,5,FALSE),AVERAGE('影响力-(10%)'!$E$2:$E$55))</f>
        <v>10</v>
      </c>
      <c r="G24" s="78">
        <f>VLOOKUP(A24,'努力度(10%)'!$A$1:$C$62,3,FALSE)</f>
        <v>9.9200000000000017</v>
      </c>
      <c r="H24" s="78">
        <f>VLOOKUP(A24,'系统价值分（5%）'!A:D,4,FALSE)</f>
        <v>8</v>
      </c>
      <c r="I24" s="83">
        <f>(0.3*D24+0.1*E24+0.1*F24+0.1*G24+H24*0.05)/0.65</f>
        <v>8.8082408625736459</v>
      </c>
      <c r="J24" s="99">
        <f>COUNTIF(I:I,"&gt;"&amp;I24)+1</f>
        <v>23</v>
      </c>
      <c r="K24" s="5" t="str">
        <f>VLOOKUP(A24,$R:$T,3,FALSE())</f>
        <v>FE</v>
      </c>
      <c r="L24" s="73"/>
      <c r="M24" s="73"/>
      <c r="N24" s="73"/>
      <c r="O24" s="3" t="s">
        <v>28</v>
      </c>
      <c r="P24" s="78"/>
      <c r="R24" s="88" t="s">
        <v>60</v>
      </c>
      <c r="S24" s="91" t="s">
        <v>30</v>
      </c>
      <c r="T24" s="6" t="s">
        <v>16</v>
      </c>
    </row>
    <row r="25" spans="1:20" ht="18.75" customHeight="1">
      <c r="A25" s="3" t="s">
        <v>47</v>
      </c>
      <c r="B25" s="10" t="str">
        <f>VLOOKUP(A25,R:S,2,FALSE)</f>
        <v>三方能力</v>
      </c>
      <c r="C25" s="5" t="s">
        <v>22</v>
      </c>
      <c r="D25" s="78">
        <f>VLOOKUP(A25,'OHT执行（30%）'!$A:$G,7,FALSE)</f>
        <v>8.0211168427744042</v>
      </c>
      <c r="E25" s="78">
        <f>VLOOKUP(A25,'保障-(10%)'!$A:$G,7,FALSE)</f>
        <v>8.0075579353275899</v>
      </c>
      <c r="F25" s="78">
        <f>IFERROR(VLOOKUP(A25,'影响力-(10%)'!$A$1:$E$55,5,FALSE),AVERAGE('影响力-(10%)'!$E$2:$E$55))</f>
        <v>10</v>
      </c>
      <c r="G25" s="78">
        <f>VLOOKUP(A25,'努力度(10%)'!$A$1:$C$62,3,FALSE)</f>
        <v>10</v>
      </c>
      <c r="H25" s="78">
        <f>VLOOKUP(A25,'系统价值分（5%）'!A:D,4,FALSE)</f>
        <v>10</v>
      </c>
      <c r="I25" s="83">
        <f>(0.3*D25+0.1*E25+0.1*F25+0.1*G25+H25*0.05)/0.65</f>
        <v>8.7801397636385854</v>
      </c>
      <c r="J25" s="99">
        <f>COUNTIF(I:I,"&gt;"&amp;I25)+1</f>
        <v>24</v>
      </c>
      <c r="K25" s="5" t="str">
        <f>VLOOKUP(A25,$R:$T,3,FALSE())</f>
        <v>RD</v>
      </c>
      <c r="L25" s="73"/>
      <c r="M25" s="73"/>
      <c r="N25" s="73"/>
      <c r="O25" s="3" t="s">
        <v>56</v>
      </c>
      <c r="P25" s="78"/>
      <c r="R25" s="88" t="s">
        <v>61</v>
      </c>
      <c r="S25" s="91" t="s">
        <v>14</v>
      </c>
      <c r="T25" s="6" t="s">
        <v>33</v>
      </c>
    </row>
    <row r="26" spans="1:20" ht="18.75" customHeight="1">
      <c r="A26" s="3" t="s">
        <v>78</v>
      </c>
      <c r="B26" s="4" t="str">
        <f>VLOOKUP(A26,R:S,2,FALSE)</f>
        <v>督导学</v>
      </c>
      <c r="C26" s="5" t="s">
        <v>22</v>
      </c>
      <c r="D26" s="78">
        <f>VLOOKUP(A26,'OHT执行（30%）'!$A:$G,7,FALSE)</f>
        <v>8.5591303618157681</v>
      </c>
      <c r="E26" s="78">
        <f>VLOOKUP(A26,'保障-(10%)'!$A:$G,7,FALSE)</f>
        <v>8.0389695113114996</v>
      </c>
      <c r="F26" s="78">
        <f>IFERROR(VLOOKUP(A26,'影响力-(10%)'!$A$1:$E$55,5,FALSE),AVERAGE('影响力-(10%)'!$E$2:$E$55))</f>
        <v>10</v>
      </c>
      <c r="G26" s="78">
        <f>VLOOKUP(A26,'努力度(10%)'!$A$1:$C$62,3,FALSE)</f>
        <v>8.5799999999999983</v>
      </c>
      <c r="H26" s="78">
        <f>VLOOKUP(A26,'系统价值分（5%）'!A:D,4,FALSE)</f>
        <v>9.4899999999999984</v>
      </c>
      <c r="I26" s="83">
        <f>(0.3*D26+0.1*E26+0.1*F26+0.1*G26+H26*0.05)/0.65</f>
        <v>8.775593937962892</v>
      </c>
      <c r="J26" s="99">
        <f>COUNTIF(I:I,"&gt;"&amp;I26)+1</f>
        <v>25</v>
      </c>
      <c r="K26" s="5" t="str">
        <f>VLOOKUP(A26,$R:$T,3,FALSE())</f>
        <v>FE</v>
      </c>
      <c r="O26" s="3" t="s">
        <v>62</v>
      </c>
      <c r="P26" s="78"/>
      <c r="R26" s="88" t="s">
        <v>40</v>
      </c>
      <c r="S26" s="91" t="s">
        <v>19</v>
      </c>
      <c r="T26" s="6" t="s">
        <v>16</v>
      </c>
    </row>
    <row r="27" spans="1:20" ht="18.75" customHeight="1">
      <c r="A27" s="3" t="s">
        <v>76</v>
      </c>
      <c r="B27" s="4" t="str">
        <f>VLOOKUP(A27,R:S,2,FALSE)</f>
        <v>督导学</v>
      </c>
      <c r="C27" s="5" t="s">
        <v>22</v>
      </c>
      <c r="D27" s="78">
        <f>VLOOKUP(A27,'OHT执行（30%）'!$A:$G,7,FALSE)</f>
        <v>8.3047573955187417</v>
      </c>
      <c r="E27" s="78">
        <f>VLOOKUP(A27,'保障-(10%)'!$A:$G,7,FALSE)</f>
        <v>8.0389695113114996</v>
      </c>
      <c r="F27" s="78">
        <f>IFERROR(VLOOKUP(A27,'影响力-(10%)'!$A$1:$E$55,5,FALSE),AVERAGE('影响力-(10%)'!$E$2:$E$55))</f>
        <v>10</v>
      </c>
      <c r="G27" s="78">
        <f>VLOOKUP(A27,'努力度(10%)'!$A$1:$C$62,3,FALSE)</f>
        <v>9.32</v>
      </c>
      <c r="H27" s="78">
        <f>VLOOKUP(A27,'系统价值分（5%）'!A:D,4,FALSE)</f>
        <v>9.4899999999999984</v>
      </c>
      <c r="I27" s="83">
        <f>(0.3*D27+0.1*E27+0.1*F27+0.1*G27+H27*0.05)/0.65</f>
        <v>8.7720371842873419</v>
      </c>
      <c r="J27" s="99">
        <f>COUNTIF(I:I,"&gt;"&amp;I27)+1</f>
        <v>26</v>
      </c>
      <c r="K27" s="5" t="str">
        <f>VLOOKUP(A27,$R:$T,3,FALSE())</f>
        <v>PM</v>
      </c>
      <c r="O27" s="3" t="s">
        <v>45</v>
      </c>
      <c r="P27" s="78"/>
      <c r="R27" s="88" t="s">
        <v>55</v>
      </c>
      <c r="S27" s="91" t="s">
        <v>35</v>
      </c>
      <c r="T27" s="6" t="s">
        <v>16</v>
      </c>
    </row>
    <row r="28" spans="1:20" ht="18.75" customHeight="1">
      <c r="A28" s="2" t="s">
        <v>59</v>
      </c>
      <c r="B28" s="9" t="str">
        <f>VLOOKUP(A28,R:S,2,FALSE)</f>
        <v>学员旅程</v>
      </c>
      <c r="C28" s="5" t="s">
        <v>15</v>
      </c>
      <c r="D28" s="78">
        <f>VLOOKUP(A28,'OHT执行（30%）'!$A:$G,7,FALSE)</f>
        <v>8.2489834508381286</v>
      </c>
      <c r="E28" s="78">
        <f>VLOOKUP(A28,'保障-(10%)'!$A:$G,7,FALSE)</f>
        <v>8.0655392768215393</v>
      </c>
      <c r="F28" s="78">
        <f>IFERROR(VLOOKUP(A28,'影响力-(10%)'!$A$1:$E$55,5,FALSE),AVERAGE('影响力-(10%)'!$E$2:$E$55))</f>
        <v>10</v>
      </c>
      <c r="G28" s="78">
        <f>VLOOKUP(A28,'努力度(10%)'!$A$1:$C$62,3,FALSE)</f>
        <v>10</v>
      </c>
      <c r="H28" s="78">
        <f>VLOOKUP(A28,'系统价值分（5%）'!A:D,4,FALSE)</f>
        <v>8</v>
      </c>
      <c r="I28" s="83">
        <f>(0.3*D28+0.1*E28+0.1*F28+0.1*G28+H28*0.05)/0.65</f>
        <v>8.7403830198978341</v>
      </c>
      <c r="J28" s="99">
        <f>COUNTIF(I:I,"&gt;"&amp;I28)+1</f>
        <v>27</v>
      </c>
      <c r="K28" s="5" t="str">
        <f>VLOOKUP(A28,$R:$T,3,FALSE())</f>
        <v>FE</v>
      </c>
      <c r="O28" s="3" t="s">
        <v>65</v>
      </c>
      <c r="P28" s="78"/>
      <c r="R28" s="88" t="s">
        <v>29</v>
      </c>
      <c r="S28" s="91" t="s">
        <v>30</v>
      </c>
      <c r="T28" s="6" t="s">
        <v>16</v>
      </c>
    </row>
    <row r="29" spans="1:20" ht="18.75" customHeight="1">
      <c r="A29" s="3" t="s">
        <v>43</v>
      </c>
      <c r="B29" s="7" t="str">
        <f>VLOOKUP(A29,R:S,2,FALSE)</f>
        <v>站内营销</v>
      </c>
      <c r="C29" s="5" t="s">
        <v>22</v>
      </c>
      <c r="D29" s="78">
        <f>VLOOKUP(A29,'OHT执行（30%）'!$A:$G,7,FALSE)</f>
        <v>7.9603059170459431</v>
      </c>
      <c r="E29" s="78">
        <f>VLOOKUP(A29,'保障-(10%)'!$A:$G,7,FALSE)</f>
        <v>8.0424857039422193</v>
      </c>
      <c r="F29" s="78">
        <f>IFERROR(VLOOKUP(A29,'影响力-(10%)'!$A$1:$E$55,5,FALSE),AVERAGE('影响力-(10%)'!$E$2:$E$55))</f>
        <v>10</v>
      </c>
      <c r="G29" s="78">
        <f>VLOOKUP(A29,'努力度(10%)'!$A$1:$C$62,3,FALSE)</f>
        <v>9.7600000000000016</v>
      </c>
      <c r="H29" s="78">
        <f>VLOOKUP(A29,'系统价值分（5%）'!A:D,4,FALSE)</f>
        <v>10</v>
      </c>
      <c r="I29" s="83">
        <f>(0.3*D29+0.1*E29+0.1*F29+0.1*G29+H29*0.05)/0.65</f>
        <v>8.7205236084738527</v>
      </c>
      <c r="J29" s="99">
        <f>COUNTIF(I:I,"&gt;"&amp;I29)+1</f>
        <v>28</v>
      </c>
      <c r="K29" s="5" t="str">
        <f>VLOOKUP(A29,$R:$T,3,FALSE())</f>
        <v>FE</v>
      </c>
      <c r="O29" s="3" t="s">
        <v>39</v>
      </c>
      <c r="P29" s="78"/>
      <c r="R29" s="88" t="s">
        <v>66</v>
      </c>
      <c r="S29" s="91" t="s">
        <v>52</v>
      </c>
      <c r="T29" s="6" t="s">
        <v>20</v>
      </c>
    </row>
    <row r="30" spans="1:20" ht="18.75" customHeight="1">
      <c r="A30" s="3" t="s">
        <v>18</v>
      </c>
      <c r="B30" s="7" t="str">
        <f>VLOOKUP(A30,R:S,2,FALSE)</f>
        <v>站内营销</v>
      </c>
      <c r="C30" s="5" t="s">
        <v>22</v>
      </c>
      <c r="D30" s="78">
        <f>VLOOKUP(A30,'OHT执行（30%）'!$A:$G,7,FALSE)</f>
        <v>8.6922889392672218</v>
      </c>
      <c r="E30" s="78">
        <f>VLOOKUP(A30,'保障-(10%)'!$A:$G,7,FALSE)</f>
        <v>8.0424857039422193</v>
      </c>
      <c r="F30" s="78">
        <f>IFERROR(VLOOKUP(A30,'影响力-(10%)'!$A$1:$E$55,5,FALSE),AVERAGE('影响力-(10%)'!$E$2:$E$55))</f>
        <v>10</v>
      </c>
      <c r="G30" s="78">
        <f>VLOOKUP(A30,'努力度(10%)'!$A$1:$C$62,3,FALSE)</f>
        <v>7.5599999999999987</v>
      </c>
      <c r="H30" s="78">
        <f>VLOOKUP(A30,'系统价值分（5%）'!A:D,4,FALSE)</f>
        <v>10</v>
      </c>
      <c r="I30" s="83">
        <f>(0.3*D30+0.1*E30+0.1*F30+0.1*G30+H30*0.05)/0.65</f>
        <v>8.7199003879605961</v>
      </c>
      <c r="J30" s="99">
        <f>COUNTIF(I:I,"&gt;"&amp;I30)+1</f>
        <v>29</v>
      </c>
      <c r="K30" s="5" t="str">
        <f>VLOOKUP(A30,$R:$T,3,FALSE())</f>
        <v>FE</v>
      </c>
      <c r="O30" s="3" t="s">
        <v>67</v>
      </c>
      <c r="P30" s="78"/>
      <c r="R30" s="88" t="s">
        <v>68</v>
      </c>
      <c r="S30" s="91" t="s">
        <v>52</v>
      </c>
      <c r="T30" s="6" t="s">
        <v>33</v>
      </c>
    </row>
    <row r="31" spans="1:20" ht="18.75" customHeight="1">
      <c r="A31" s="3" t="s">
        <v>57</v>
      </c>
      <c r="B31" s="11" t="str">
        <f>VLOOKUP(A31,R:S,2,FALSE)</f>
        <v>三教服务</v>
      </c>
      <c r="C31" s="5" t="s">
        <v>22</v>
      </c>
      <c r="D31" s="78">
        <f>VLOOKUP(A31,'OHT执行（30%）'!$A:$G,7,FALSE)</f>
        <v>8.9456286770176714</v>
      </c>
      <c r="E31" s="78">
        <f>VLOOKUP(A31,'保障-(10%)'!$A:$G,7,FALSE)</f>
        <v>7.9984991988014498</v>
      </c>
      <c r="F31" s="78">
        <f>IFERROR(VLOOKUP(A31,'影响力-(10%)'!$A$1:$E$55,5,FALSE),AVERAGE('影响力-(10%)'!$E$2:$E$55))</f>
        <v>10</v>
      </c>
      <c r="G31" s="78">
        <f>VLOOKUP(A31,'努力度(10%)'!$A$1:$C$62,3,FALSE)</f>
        <v>7.7600000000000016</v>
      </c>
      <c r="H31" s="78">
        <f>VLOOKUP(A31,'系统价值分（5%）'!A:D,4,FALSE)</f>
        <v>8</v>
      </c>
      <c r="I31" s="83">
        <f>(0.3*D31+0.1*E31+0.1*F31+0.1*G31+H31*0.05)/0.65</f>
        <v>8.7069823430545323</v>
      </c>
      <c r="J31" s="99">
        <f>COUNTIF(I:I,"&gt;"&amp;I31)+1</f>
        <v>30</v>
      </c>
      <c r="K31" s="5" t="str">
        <f>VLOOKUP(A31,$R:$T,3,FALSE())</f>
        <v>RD</v>
      </c>
      <c r="O31" s="3" t="s">
        <v>63</v>
      </c>
      <c r="P31" s="78"/>
      <c r="R31" s="88" t="s">
        <v>56</v>
      </c>
      <c r="S31" s="91" t="s">
        <v>35</v>
      </c>
      <c r="T31" s="6" t="s">
        <v>16</v>
      </c>
    </row>
    <row r="32" spans="1:20" ht="18.75" customHeight="1">
      <c r="A32" s="3" t="s">
        <v>46</v>
      </c>
      <c r="B32" s="7" t="str">
        <f>VLOOKUP(A32,R:S,2,FALSE)</f>
        <v>站内营销</v>
      </c>
      <c r="C32" s="5" t="s">
        <v>22</v>
      </c>
      <c r="D32" s="78">
        <f>VLOOKUP(A32,'OHT执行（30%）'!$A:$G,7,FALSE)</f>
        <v>7.6295951412825334</v>
      </c>
      <c r="E32" s="78">
        <f>VLOOKUP(A32,'保障-(10%)'!$A:$G,7,FALSE)</f>
        <v>8.4194112203982296</v>
      </c>
      <c r="F32" s="78">
        <f>IFERROR(VLOOKUP(A32,'影响力-(10%)'!$A$1:$E$55,5,FALSE),AVERAGE('影响力-(10%)'!$E$2:$E$55))</f>
        <v>10</v>
      </c>
      <c r="G32" s="78">
        <f>VLOOKUP(A32,'努力度(10%)'!$A$1:$C$62,3,FALSE)</f>
        <v>9.9600000000000009</v>
      </c>
      <c r="H32" s="78">
        <f>VLOOKUP(A32,'系统价值分（5%）'!A:D,4,FALSE)</f>
        <v>10</v>
      </c>
      <c r="I32" s="83">
        <f>(0.3*D32+0.1*E32+0.1*F32+0.1*G32+H32*0.05)/0.65</f>
        <v>8.6566456375762808</v>
      </c>
      <c r="J32" s="99">
        <f>COUNTIF(I:I,"&gt;"&amp;I32)+1</f>
        <v>31</v>
      </c>
      <c r="K32" s="5" t="str">
        <f>VLOOKUP(A32,$R:$T,3,FALSE())</f>
        <v>QA</v>
      </c>
      <c r="O32" s="2" t="s">
        <v>59</v>
      </c>
      <c r="P32" s="78"/>
      <c r="R32" s="88" t="s">
        <v>26</v>
      </c>
      <c r="S32" s="91" t="s">
        <v>52</v>
      </c>
      <c r="T32" s="6" t="s">
        <v>20</v>
      </c>
    </row>
    <row r="33" spans="1:20" ht="18.75" customHeight="1">
      <c r="A33" s="3" t="s">
        <v>40</v>
      </c>
      <c r="B33" s="7" t="str">
        <f>VLOOKUP(A33,R:S,2,FALSE)</f>
        <v>站内营销</v>
      </c>
      <c r="C33" s="5" t="s">
        <v>22</v>
      </c>
      <c r="D33" s="78">
        <f>VLOOKUP(A33,'OHT执行（30%）'!$A:$G,7,FALSE)</f>
        <v>7.4440210656524446</v>
      </c>
      <c r="E33" s="78">
        <f>VLOOKUP(A33,'保障-(10%)'!$A:$G,7,FALSE)</f>
        <v>8.1149712530550495</v>
      </c>
      <c r="F33" s="78">
        <f>IFERROR(VLOOKUP(A33,'影响力-(10%)'!$A$1:$E$55,5,FALSE),AVERAGE('影响力-(10%)'!$E$2:$E$55))</f>
        <v>10</v>
      </c>
      <c r="G33" s="78">
        <f>VLOOKUP(A33,'努力度(10%)'!$A$1:$C$62,3,FALSE)</f>
        <v>10</v>
      </c>
      <c r="H33" s="78">
        <f>VLOOKUP(A33,'系统价值分（5%）'!A:D,4,FALSE)</f>
        <v>10</v>
      </c>
      <c r="I33" s="83">
        <f>(0.3*D33+0.1*E33+0.1*F33+0.1*G33+H33*0.05)/0.65</f>
        <v>8.5303129923095984</v>
      </c>
      <c r="J33" s="99">
        <f>COUNTIF(I:I,"&gt;"&amp;I33)+1</f>
        <v>32</v>
      </c>
      <c r="K33" s="5" t="str">
        <f>VLOOKUP(A33,$R:$T,3,FALSE())</f>
        <v>RD</v>
      </c>
      <c r="O33" s="3" t="s">
        <v>51</v>
      </c>
      <c r="P33" s="78"/>
      <c r="R33" s="88" t="s">
        <v>70</v>
      </c>
      <c r="S33" s="91" t="s">
        <v>35</v>
      </c>
      <c r="T33" s="6" t="s">
        <v>20</v>
      </c>
    </row>
    <row r="34" spans="1:20" ht="18.75" customHeight="1">
      <c r="A34" s="3" t="s">
        <v>45</v>
      </c>
      <c r="B34" s="7" t="str">
        <f>VLOOKUP(A34,R:S,2,FALSE)</f>
        <v>站内营销</v>
      </c>
      <c r="C34" s="5" t="s">
        <v>22</v>
      </c>
      <c r="D34" s="78">
        <f>VLOOKUP(A34,'OHT执行（30%）'!$A:$G,7,FALSE)</f>
        <v>7.9320276119970377</v>
      </c>
      <c r="E34" s="78">
        <f>VLOOKUP(A34,'保障-(10%)'!$A:$G,7,FALSE)</f>
        <v>8.0859771029961607</v>
      </c>
      <c r="F34" s="78">
        <f>IFERROR(VLOOKUP(A34,'影响力-(10%)'!$A$1:$E$55,5,FALSE),AVERAGE('影响力-(10%)'!$E$2:$E$55))</f>
        <v>10</v>
      </c>
      <c r="G34" s="78">
        <f>VLOOKUP(A34,'努力度(10%)'!$A$1:$C$62,3,FALSE)</f>
        <v>8.2199999999999989</v>
      </c>
      <c r="H34" s="78">
        <f>VLOOKUP(A34,'系统价值分（5%）'!A:D,4,FALSE)</f>
        <v>10</v>
      </c>
      <c r="I34" s="83">
        <f>(0.3*D34+0.1*E34+0.1*F34+0.1*G34+H34*0.05)/0.65</f>
        <v>8.477239990613425</v>
      </c>
      <c r="J34" s="99">
        <f>COUNTIF(I:I,"&gt;"&amp;I34)+1</f>
        <v>33</v>
      </c>
      <c r="K34" s="5" t="str">
        <f>VLOOKUP(A34,$R:$T,3,FALSE())</f>
        <v>FE</v>
      </c>
      <c r="O34" s="3" t="s">
        <v>71</v>
      </c>
      <c r="P34" s="78"/>
      <c r="R34" s="88" t="s">
        <v>72</v>
      </c>
      <c r="S34" s="91" t="s">
        <v>35</v>
      </c>
      <c r="T34" s="6" t="s">
        <v>20</v>
      </c>
    </row>
    <row r="35" spans="1:20" ht="18.75" customHeight="1">
      <c r="A35" s="3" t="s">
        <v>54</v>
      </c>
      <c r="B35" s="10" t="str">
        <f>VLOOKUP(A35,R:S,2,FALSE)</f>
        <v>三方能力</v>
      </c>
      <c r="C35" s="5" t="s">
        <v>22</v>
      </c>
      <c r="D35" s="78">
        <f>VLOOKUP(A35,'OHT执行（30%）'!$A:$G,7,FALSE)</f>
        <v>7.6023330547360182</v>
      </c>
      <c r="E35" s="78">
        <f>VLOOKUP(A35,'保障-(10%)'!$A:$G,7,FALSE)</f>
        <v>7.8553380386388003</v>
      </c>
      <c r="F35" s="78">
        <f>IFERROR(VLOOKUP(A35,'影响力-(10%)'!$A$1:$E$55,5,FALSE),AVERAGE('影响力-(10%)'!$E$2:$E$55))</f>
        <v>10</v>
      </c>
      <c r="G35" s="78">
        <f>VLOOKUP(A35,'努力度(10%)'!$A$1:$C$62,3,FALSE)</f>
        <v>8.620000000000001</v>
      </c>
      <c r="H35" s="78">
        <f>VLOOKUP(A35,'系统价值分（5%）'!A:D,4,FALSE)</f>
        <v>10</v>
      </c>
      <c r="I35" s="83">
        <f>(0.3*D35+0.1*E35+0.1*F35+0.1*G35+H35*0.05)/0.65</f>
        <v>8.3511288004379782</v>
      </c>
      <c r="J35" s="99">
        <f>COUNTIF(I:I,"&gt;"&amp;I35)+1</f>
        <v>34</v>
      </c>
      <c r="K35" s="5" t="str">
        <f>VLOOKUP(A35,$R:$T,3,FALSE())</f>
        <v>FE</v>
      </c>
      <c r="O35" s="3" t="s">
        <v>54</v>
      </c>
      <c r="P35" s="78"/>
      <c r="R35" s="88" t="s">
        <v>63</v>
      </c>
      <c r="S35" s="91" t="s">
        <v>52</v>
      </c>
      <c r="T35" s="6" t="s">
        <v>33</v>
      </c>
    </row>
    <row r="36" spans="1:20" ht="18.75" customHeight="1">
      <c r="A36" s="3" t="s">
        <v>79</v>
      </c>
      <c r="B36" s="11" t="str">
        <f>VLOOKUP(A36,R:S,2,FALSE)</f>
        <v>三教服务</v>
      </c>
      <c r="C36" s="5" t="s">
        <v>22</v>
      </c>
      <c r="D36" s="78">
        <f>VLOOKUP(A36,'OHT执行（30%）'!$A:$G,7,FALSE)</f>
        <v>7.7653532207375822</v>
      </c>
      <c r="E36" s="78">
        <f>VLOOKUP(A36,'保障-(10%)'!$A:$G,7,FALSE)</f>
        <v>8.3984991988014492</v>
      </c>
      <c r="F36" s="78">
        <f>IFERROR(VLOOKUP(A36,'影响力-(10%)'!$A$1:$E$55,5,FALSE),AVERAGE('影响力-(10%)'!$E$2:$E$55))</f>
        <v>10</v>
      </c>
      <c r="G36" s="78">
        <f>VLOOKUP(A36,'努力度(10%)'!$A$1:$C$62,3,FALSE)</f>
        <v>8.2199999999999989</v>
      </c>
      <c r="H36" s="78">
        <f>VLOOKUP(A36,'系统价值分（5%）'!A:D,4,FALSE)</f>
        <v>8</v>
      </c>
      <c r="I36" s="83">
        <f>(0.3*D36+0.1*E36+0.1*F36+0.1*G36+H36*0.05)/0.65</f>
        <v>8.2945475170791063</v>
      </c>
      <c r="J36" s="99">
        <f>COUNTIF(I:I,"&gt;"&amp;I36)+1</f>
        <v>35</v>
      </c>
      <c r="K36" s="5" t="str">
        <f>VLOOKUP(A36,$R:$T,3,FALSE())</f>
        <v>PM</v>
      </c>
      <c r="O36" s="3" t="s">
        <v>24</v>
      </c>
      <c r="P36" s="78"/>
      <c r="R36" s="88" t="s">
        <v>73</v>
      </c>
      <c r="S36" s="91" t="s">
        <v>52</v>
      </c>
      <c r="T36" s="6" t="s">
        <v>20</v>
      </c>
    </row>
    <row r="37" spans="1:20" ht="18.75" customHeight="1">
      <c r="A37" s="3" t="s">
        <v>71</v>
      </c>
      <c r="B37" s="4" t="str">
        <f>VLOOKUP(A37,R:S,2,FALSE)</f>
        <v>督导学</v>
      </c>
      <c r="C37" s="5" t="s">
        <v>22</v>
      </c>
      <c r="D37" s="78">
        <f>VLOOKUP(A37,'OHT执行（30%）'!$A:$G,7,FALSE)</f>
        <v>7.1506768025446226</v>
      </c>
      <c r="E37" s="78">
        <f>VLOOKUP(A37,'保障-(10%)'!$A:$G,7,FALSE)</f>
        <v>8.0607152108384703</v>
      </c>
      <c r="F37" s="78">
        <f>IFERROR(VLOOKUP(A37,'影响力-(10%)'!$A$1:$E$55,5,FALSE),AVERAGE('影响力-(10%)'!$E$2:$E$55))</f>
        <v>10</v>
      </c>
      <c r="G37" s="78">
        <f>VLOOKUP(A37,'努力度(10%)'!$A$1:$C$62,3,FALSE)</f>
        <v>9.2399999999999984</v>
      </c>
      <c r="H37" s="78">
        <f>VLOOKUP(A37,'系统价值分（5%）'!A:D,4,FALSE)</f>
        <v>9.4899999999999984</v>
      </c>
      <c r="I37" s="83">
        <f>(0.3*D37+0.1*E37+0.1*F37+0.1*G37+H37*0.05)/0.65</f>
        <v>8.2304224028418975</v>
      </c>
      <c r="J37" s="99">
        <f>COUNTIF(I:I,"&gt;"&amp;I37)+1</f>
        <v>36</v>
      </c>
      <c r="K37" s="5" t="str">
        <f>VLOOKUP(A37,$R:$T,3,FALSE())</f>
        <v>RD</v>
      </c>
      <c r="O37" s="3" t="s">
        <v>64</v>
      </c>
      <c r="P37" s="78"/>
      <c r="R37" s="88" t="s">
        <v>74</v>
      </c>
      <c r="S37" s="91" t="s">
        <v>52</v>
      </c>
      <c r="T37" s="6" t="s">
        <v>20</v>
      </c>
    </row>
    <row r="38" spans="1:20" ht="18.75" customHeight="1">
      <c r="A38" s="3" t="s">
        <v>24</v>
      </c>
      <c r="B38" s="7" t="str">
        <f>VLOOKUP(A38,R:S,2,FALSE)</f>
        <v>站内营销</v>
      </c>
      <c r="C38" s="5" t="s">
        <v>22</v>
      </c>
      <c r="D38" s="78">
        <f>VLOOKUP(A38,'OHT执行（30%）'!$A:$G,7,FALSE)</f>
        <v>7.3392788882962687</v>
      </c>
      <c r="E38" s="78">
        <f>VLOOKUP(A38,'保障-(10%)'!$A:$G,7,FALSE)</f>
        <v>8.06423140346919</v>
      </c>
      <c r="F38" s="78">
        <f>IFERROR(VLOOKUP(A38,'影响力-(10%)'!$A$1:$E$55,5,FALSE),AVERAGE('影响力-(10%)'!$E$2:$E$55))</f>
        <v>10</v>
      </c>
      <c r="G38" s="78">
        <f>VLOOKUP(A38,'努力度(10%)'!$A$1:$C$62,3,FALSE)</f>
        <v>8.32</v>
      </c>
      <c r="H38" s="78">
        <f>VLOOKUP(A38,'系统价值分（5%）'!A:D,4,FALSE)</f>
        <v>10</v>
      </c>
      <c r="I38" s="83">
        <f>(0.3*D38+0.1*E38+0.1*F38+0.1*G38+H38*0.05)/0.65</f>
        <v>8.2157027797473834</v>
      </c>
      <c r="J38" s="99">
        <f>COUNTIF(I:I,"&gt;"&amp;I38)+1</f>
        <v>37</v>
      </c>
      <c r="K38" s="5" t="str">
        <f>VLOOKUP(A38,$R:$T,3,FALSE())</f>
        <v>FE</v>
      </c>
      <c r="O38" s="3" t="s">
        <v>75</v>
      </c>
      <c r="P38" s="78"/>
      <c r="R38" s="88" t="s">
        <v>64</v>
      </c>
      <c r="S38" s="91" t="s">
        <v>35</v>
      </c>
      <c r="T38" s="6" t="s">
        <v>16</v>
      </c>
    </row>
    <row r="39" spans="1:20" ht="18.75" customHeight="1">
      <c r="A39" s="3" t="s">
        <v>67</v>
      </c>
      <c r="B39" s="12" t="str">
        <f>VLOOKUP(A39,R:S,2,FALSE)</f>
        <v>站台</v>
      </c>
      <c r="C39" s="5" t="s">
        <v>22</v>
      </c>
      <c r="D39" s="78">
        <f>VLOOKUP(A39,'OHT执行（30%）'!$A:$G,7,FALSE)</f>
        <v>7.581460863108858</v>
      </c>
      <c r="E39" s="78">
        <f>VLOOKUP(A39,'保障-(10%)'!$A:$G,7,FALSE)</f>
        <v>8.1999999999999993</v>
      </c>
      <c r="F39" s="78">
        <f>IFERROR(VLOOKUP(A39,'影响力-(10%)'!$A$1:$E$55,5,FALSE),AVERAGE('影响力-(10%)'!$E$2:$E$55))</f>
        <v>10</v>
      </c>
      <c r="G39" s="78">
        <f>VLOOKUP(A39,'努力度(10%)'!$A$1:$C$62,3,FALSE)</f>
        <v>8.34</v>
      </c>
      <c r="H39" s="78">
        <f>VLOOKUP(A39,'系统价值分（5%）'!A:D,4,FALSE)</f>
        <v>8</v>
      </c>
      <c r="I39" s="83">
        <f>(0.3*D39+0.1*E39+0.1*F39+0.1*G39+H39*0.05)/0.65</f>
        <v>8.1975973214348556</v>
      </c>
      <c r="J39" s="99">
        <f>COUNTIF(I:I,"&gt;"&amp;I39)+1</f>
        <v>38</v>
      </c>
      <c r="K39" s="5" t="str">
        <f>VLOOKUP(A39,$R:$T,3,FALSE())</f>
        <v>PM</v>
      </c>
      <c r="O39" s="3" t="s">
        <v>69</v>
      </c>
      <c r="P39" s="78"/>
      <c r="R39" s="88" t="s">
        <v>75</v>
      </c>
      <c r="S39" s="91" t="s">
        <v>52</v>
      </c>
      <c r="T39" s="6" t="s">
        <v>20</v>
      </c>
    </row>
    <row r="40" spans="1:20" ht="18.75" customHeight="1">
      <c r="A40" s="3" t="s">
        <v>62</v>
      </c>
      <c r="B40" s="12" t="str">
        <f>VLOOKUP(A40,R:S,2,FALSE)</f>
        <v>学员旅程</v>
      </c>
      <c r="C40" s="5" t="s">
        <v>22</v>
      </c>
      <c r="D40" s="78">
        <f>VLOOKUP(A40,'OHT执行（30%）'!$A:$G,7,FALSE)</f>
        <v>7.4793078650253868</v>
      </c>
      <c r="E40" s="78">
        <f>VLOOKUP(A40,'保障-(10%)'!$A:$G,7,FALSE)</f>
        <v>9</v>
      </c>
      <c r="F40" s="78">
        <f>IFERROR(VLOOKUP(A40,'影响力-(10%)'!$A$1:$E$55,5,FALSE),AVERAGE('影响力-(10%)'!$E$2:$E$55))</f>
        <v>10</v>
      </c>
      <c r="G40" s="78">
        <f>VLOOKUP(A40,'努力度(10%)'!$A$1:$C$62,3,FALSE)</f>
        <v>7.8000000000000007</v>
      </c>
      <c r="H40" s="78">
        <f>VLOOKUP(A40,'系统价值分（5%）'!A:D,4,FALSE)</f>
        <v>8</v>
      </c>
      <c r="I40" s="83">
        <f>(0.3*D40+0.1*E40+0.1*F40+0.1*G40+H40*0.05)/0.65</f>
        <v>8.190449783857872</v>
      </c>
      <c r="J40" s="99">
        <f>COUNTIF(I:I,"&gt;"&amp;I40)+1</f>
        <v>39</v>
      </c>
      <c r="K40" s="5" t="str">
        <f>VLOOKUP(A40,$R:$T,3,FALSE())</f>
        <v>QA</v>
      </c>
      <c r="O40" s="3" t="s">
        <v>68</v>
      </c>
      <c r="P40" s="78"/>
      <c r="R40" s="88" t="s">
        <v>69</v>
      </c>
      <c r="S40" s="91" t="s">
        <v>25</v>
      </c>
      <c r="T40" s="6" t="s">
        <v>16</v>
      </c>
    </row>
    <row r="41" spans="1:20" ht="18.75" customHeight="1">
      <c r="A41" s="3" t="s">
        <v>56</v>
      </c>
      <c r="B41" s="11" t="str">
        <f>VLOOKUP(A41,R:S,2,FALSE)</f>
        <v>三教服务</v>
      </c>
      <c r="C41" s="5" t="s">
        <v>22</v>
      </c>
      <c r="D41" s="78">
        <f>VLOOKUP(A41,'OHT执行（30%）'!$A:$G,7,FALSE)</f>
        <v>7.401079918425304</v>
      </c>
      <c r="E41" s="78">
        <f>VLOOKUP(A41,'保障-(10%)'!$A:$G,7,FALSE)</f>
        <v>7.9984991988014498</v>
      </c>
      <c r="F41" s="78">
        <f>IFERROR(VLOOKUP(A41,'影响力-(10%)'!$A$1:$E$55,5,FALSE),AVERAGE('影响力-(10%)'!$E$2:$E$55))</f>
        <v>10</v>
      </c>
      <c r="G41" s="78">
        <f>VLOOKUP(A41,'努力度(10%)'!$A$1:$C$62,3,FALSE)</f>
        <v>8.98</v>
      </c>
      <c r="H41" s="78">
        <f>VLOOKUP(A41,'系统价值分（5%）'!A:D,4,FALSE)</f>
        <v>8</v>
      </c>
      <c r="I41" s="83">
        <f>(0.3*D41+0.1*E41+0.1*F41+0.1*G41+H41*0.05)/0.65</f>
        <v>8.1818059929349793</v>
      </c>
      <c r="J41" s="99">
        <f>COUNTIF(I:I,"&gt;"&amp;I41)+1</f>
        <v>40</v>
      </c>
      <c r="K41" s="5" t="str">
        <f>VLOOKUP(A41,$R:$T,3,FALSE())</f>
        <v>RD</v>
      </c>
      <c r="O41" s="3" t="s">
        <v>76</v>
      </c>
      <c r="P41" s="78"/>
      <c r="R41" s="88" t="s">
        <v>23</v>
      </c>
      <c r="S41" s="91" t="s">
        <v>25</v>
      </c>
      <c r="T41" s="6" t="s">
        <v>20</v>
      </c>
    </row>
    <row r="42" spans="1:20" ht="18.75" customHeight="1">
      <c r="A42" s="3" t="s">
        <v>70</v>
      </c>
      <c r="B42" s="11" t="str">
        <f>VLOOKUP(A42,R:S,2,FALSE)</f>
        <v>三教服务</v>
      </c>
      <c r="C42" s="5" t="s">
        <v>22</v>
      </c>
      <c r="D42" s="78">
        <f>VLOOKUP(A42,'OHT执行（30%）'!$A:$G,7,FALSE)</f>
        <v>7.1541074614017504</v>
      </c>
      <c r="E42" s="78">
        <f>VLOOKUP(A42,'保障-(10%)'!$A:$G,7,FALSE)</f>
        <v>7.9984991988014498</v>
      </c>
      <c r="F42" s="78">
        <f>IFERROR(VLOOKUP(A42,'影响力-(10%)'!$A$1:$E$55,5,FALSE),AVERAGE('影响力-(10%)'!$E$2:$E$55))</f>
        <v>10</v>
      </c>
      <c r="G42" s="78">
        <f>VLOOKUP(A42,'努力度(10%)'!$A$1:$C$62,3,FALSE)</f>
        <v>9.66</v>
      </c>
      <c r="H42" s="78">
        <f>VLOOKUP(A42,'系统价值分（5%）'!A:D,4,FALSE)</f>
        <v>8</v>
      </c>
      <c r="I42" s="83">
        <f>(0.3*D42+0.1*E42+0.1*F42+0.1*G42+H42*0.05)/0.65</f>
        <v>8.1724340896933398</v>
      </c>
      <c r="J42" s="99">
        <f>COUNTIF(I:I,"&gt;"&amp;I42)+1</f>
        <v>41</v>
      </c>
      <c r="K42" s="5" t="str">
        <f>VLOOKUP(A42,$R:$T,3,FALSE())</f>
        <v>FE</v>
      </c>
      <c r="O42" s="2" t="s">
        <v>77</v>
      </c>
      <c r="P42" s="78"/>
      <c r="R42" s="88" t="s">
        <v>44</v>
      </c>
      <c r="S42" s="91" t="s">
        <v>52</v>
      </c>
      <c r="T42" s="6" t="s">
        <v>16</v>
      </c>
    </row>
    <row r="43" spans="1:20" ht="18.75" customHeight="1">
      <c r="A43" s="3" t="s">
        <v>69</v>
      </c>
      <c r="B43" s="4" t="str">
        <f>VLOOKUP(A43,R:S,2,FALSE)</f>
        <v>督导学</v>
      </c>
      <c r="C43" s="5" t="s">
        <v>22</v>
      </c>
      <c r="D43" s="78">
        <f>VLOOKUP(A43,'OHT执行（30%）'!$A:$G,7,FALSE)</f>
        <v>6.9859513737461345</v>
      </c>
      <c r="E43" s="78">
        <f>VLOOKUP(A43,'保障-(10%)'!$A:$G,7,FALSE)</f>
        <v>8.1042066098924099</v>
      </c>
      <c r="F43" s="78">
        <f>IFERROR(VLOOKUP(A43,'影响力-(10%)'!$A$1:$E$55,5,FALSE),AVERAGE('影响力-(10%)'!$E$2:$E$55))</f>
        <v>10</v>
      </c>
      <c r="G43" s="78">
        <f>VLOOKUP(A43,'努力度(10%)'!$A$1:$C$62,3,FALSE)</f>
        <v>9.3000000000000007</v>
      </c>
      <c r="H43" s="78">
        <f>VLOOKUP(A43,'系统价值分（5%）'!A:D,4,FALSE)</f>
        <v>9.4899999999999984</v>
      </c>
      <c r="I43" s="83">
        <f>(0.3*D43+0.1*E43+0.1*F43+0.1*G43+H43*0.05)/0.65</f>
        <v>8.1703170355585861</v>
      </c>
      <c r="J43" s="99">
        <f>COUNTIF(I:I,"&gt;"&amp;I43)+1</f>
        <v>42</v>
      </c>
      <c r="K43" s="5" t="str">
        <f>VLOOKUP(A43,$R:$T,3,FALSE())</f>
        <v>RD</v>
      </c>
      <c r="O43" s="2" t="s">
        <v>60</v>
      </c>
      <c r="P43" s="78"/>
      <c r="R43" s="88" t="s">
        <v>79</v>
      </c>
      <c r="S43" s="91" t="s">
        <v>35</v>
      </c>
      <c r="T43" s="6" t="s">
        <v>33</v>
      </c>
    </row>
    <row r="44" spans="1:20" ht="18.75" customHeight="1">
      <c r="A44" s="3" t="s">
        <v>44</v>
      </c>
      <c r="B44" s="9" t="str">
        <f>VLOOKUP(A44,R:S,2,FALSE)</f>
        <v>学员旅程</v>
      </c>
      <c r="C44" s="5" t="s">
        <v>22</v>
      </c>
      <c r="D44" s="78">
        <f>VLOOKUP(A44,'OHT执行（30%）'!$A:$G,7,FALSE)</f>
        <v>7.433352995261731</v>
      </c>
      <c r="E44" s="78">
        <f>VLOOKUP(A44,'保障-(10%)'!$A:$G,7,FALSE)</f>
        <v>7</v>
      </c>
      <c r="F44" s="78">
        <f>IFERROR(VLOOKUP(A44,'影响力-(10%)'!$A$1:$E$55,5,FALSE),AVERAGE('影响力-(10%)'!$E$2:$E$55))</f>
        <v>10</v>
      </c>
      <c r="G44" s="78">
        <f>VLOOKUP(A44,'努力度(10%)'!$A$1:$C$62,3,FALSE)</f>
        <v>9.1000000000000014</v>
      </c>
      <c r="H44" s="78">
        <f>VLOOKUP(A44,'系统价值分（5%）'!A:D,4,FALSE)</f>
        <v>8</v>
      </c>
      <c r="I44" s="83">
        <f>(0.3*D44+0.1*E44+0.1*F44+0.1*G44+H44*0.05)/0.65</f>
        <v>8.0615475362746452</v>
      </c>
      <c r="J44" s="99">
        <f>COUNTIF(I:I,"&gt;"&amp;I44)+1</f>
        <v>43</v>
      </c>
      <c r="K44" s="5" t="str">
        <f>VLOOKUP(A44,$R:$T,3,FALSE())</f>
        <v>RD</v>
      </c>
      <c r="O44" s="3" t="s">
        <v>61</v>
      </c>
      <c r="P44" s="78"/>
      <c r="R44" s="88" t="s">
        <v>78</v>
      </c>
      <c r="S44" s="91" t="s">
        <v>25</v>
      </c>
      <c r="T44" s="6" t="s">
        <v>20</v>
      </c>
    </row>
    <row r="45" spans="1:20" ht="18.75" customHeight="1">
      <c r="A45" s="3" t="s">
        <v>73</v>
      </c>
      <c r="B45" s="9" t="str">
        <f>VLOOKUP(A45,R:S,2,FALSE)</f>
        <v>学员旅程</v>
      </c>
      <c r="C45" s="5" t="s">
        <v>22</v>
      </c>
      <c r="D45" s="78">
        <f>VLOOKUP(A45,'OHT执行（30%）'!$A:$G,7,FALSE)</f>
        <v>7.1101236976359576</v>
      </c>
      <c r="E45" s="78">
        <f>VLOOKUP(A45,'保障-(10%)'!$A:$G,7,FALSE)</f>
        <v>7</v>
      </c>
      <c r="F45" s="78">
        <f>IFERROR(VLOOKUP(A45,'影响力-(10%)'!$A$1:$E$55,5,FALSE),AVERAGE('影响力-(10%)'!$E$2:$E$55))</f>
        <v>10</v>
      </c>
      <c r="G45" s="78">
        <f>VLOOKUP(A45,'努力度(10%)'!$A$1:$C$62,3,FALSE)</f>
        <v>10</v>
      </c>
      <c r="H45" s="78">
        <f>VLOOKUP(A45,'系统价值分（5%）'!A:D,4,FALSE)</f>
        <v>8</v>
      </c>
      <c r="I45" s="83">
        <f>(0.3*D45+0.1*E45+0.1*F45+0.1*G45+H45*0.05)/0.65</f>
        <v>8.0508263219858271</v>
      </c>
      <c r="J45" s="99">
        <f>COUNTIF(I:I,"&gt;"&amp;I45)+1</f>
        <v>44</v>
      </c>
      <c r="K45" s="5" t="str">
        <f>VLOOKUP(A45,$R:$T,3,FALSE())</f>
        <v>FE</v>
      </c>
      <c r="O45" s="3" t="s">
        <v>70</v>
      </c>
      <c r="P45" s="78"/>
      <c r="R45" s="88" t="s">
        <v>71</v>
      </c>
      <c r="S45" s="91" t="s">
        <v>25</v>
      </c>
      <c r="T45" s="6" t="s">
        <v>16</v>
      </c>
    </row>
    <row r="46" spans="1:20" ht="18.75" customHeight="1">
      <c r="A46" s="3" t="s">
        <v>68</v>
      </c>
      <c r="B46" s="9" t="str">
        <f>VLOOKUP(A46,R:S,2,FALSE)</f>
        <v>学员旅程</v>
      </c>
      <c r="C46" s="5" t="s">
        <v>22</v>
      </c>
      <c r="D46" s="78">
        <f>VLOOKUP(A46,'OHT执行（30%）'!$A:$G,7,FALSE)</f>
        <v>6.705538562086975</v>
      </c>
      <c r="E46" s="78">
        <f>VLOOKUP(A46,'保障-(10%)'!$A:$G,7,FALSE)</f>
        <v>8.1999999999999993</v>
      </c>
      <c r="F46" s="78">
        <f>IFERROR(VLOOKUP(A46,'影响力-(10%)'!$A$1:$E$55,5,FALSE),AVERAGE('影响力-(10%)'!$E$2:$E$55))</f>
        <v>10</v>
      </c>
      <c r="G46" s="78">
        <f>VLOOKUP(A46,'努力度(10%)'!$A$1:$C$62,3,FALSE)</f>
        <v>10</v>
      </c>
      <c r="H46" s="78">
        <f>VLOOKUP(A46,'系统价值分（5%）'!A:D,4,FALSE)</f>
        <v>8</v>
      </c>
      <c r="I46" s="83">
        <f>(0.3*D46+0.1*E46+0.1*F46+0.1*G46+H46*0.05)/0.65</f>
        <v>8.0487101055786034</v>
      </c>
      <c r="J46" s="99">
        <f>COUNTIF(I:I,"&gt;"&amp;I46)+1</f>
        <v>45</v>
      </c>
      <c r="K46" s="5" t="str">
        <f>VLOOKUP(A46,$R:$T,3,FALSE())</f>
        <v>PM</v>
      </c>
      <c r="O46" s="3" t="s">
        <v>49</v>
      </c>
      <c r="P46" s="78"/>
      <c r="R46" s="88" t="s">
        <v>34</v>
      </c>
      <c r="S46" s="91" t="s">
        <v>35</v>
      </c>
      <c r="T46" s="6" t="s">
        <v>36</v>
      </c>
    </row>
    <row r="47" spans="1:20" ht="18.75" customHeight="1">
      <c r="A47" s="3" t="s">
        <v>178</v>
      </c>
      <c r="B47" s="10" t="str">
        <f>VLOOKUP(A47,R:S,2,FALSE)</f>
        <v>督导学</v>
      </c>
      <c r="C47" s="5" t="s">
        <v>22</v>
      </c>
      <c r="D47" s="78">
        <f>VLOOKUP(A47,'OHT执行（30%）'!$A:$G,7,FALSE)</f>
        <v>7.1262853931533439</v>
      </c>
      <c r="E47" s="78">
        <f>VLOOKUP(A47,'保障-(10%)'!$A:$G,7,FALSE)</f>
        <v>8.0389695113114996</v>
      </c>
      <c r="F47" s="78">
        <f>IFERROR(VLOOKUP(A47,'影响力-(10%)'!$A$1:$E$55,5,FALSE),AVERAGE('影响力-(10%)'!$E$2:$E$55))</f>
        <v>10</v>
      </c>
      <c r="G47" s="78">
        <f>VLOOKUP(A47,'努力度(10%)'!$A$1:$C$62,3,FALSE)</f>
        <v>8.7800000000000011</v>
      </c>
      <c r="H47" s="78">
        <f>VLOOKUP(A47,'系统价值分（5%）'!A:D,4,FALSE)</f>
        <v>8</v>
      </c>
      <c r="I47" s="83">
        <f>(0.3*D47+0.1*E47+0.1*F47+0.1*G47+H47*0.05)/0.65</f>
        <v>8.0304347216571585</v>
      </c>
      <c r="J47" s="99">
        <f>COUNTIF(I:I,"&gt;"&amp;I47)+1</f>
        <v>46</v>
      </c>
      <c r="K47" s="5" t="str">
        <f>VLOOKUP(A47,$R:$T,3,FALSE())</f>
        <v>FE</v>
      </c>
      <c r="O47" s="3" t="s">
        <v>58</v>
      </c>
      <c r="P47" s="78"/>
      <c r="R47" s="88" t="s">
        <v>76</v>
      </c>
      <c r="S47" s="91" t="s">
        <v>25</v>
      </c>
      <c r="T47" s="6" t="s">
        <v>33</v>
      </c>
    </row>
    <row r="48" spans="1:20" ht="18.75" customHeight="1">
      <c r="A48" s="3" t="s">
        <v>80</v>
      </c>
      <c r="B48" s="4" t="str">
        <f>VLOOKUP(A48,R:S,2,FALSE)</f>
        <v>督导学</v>
      </c>
      <c r="C48" s="5" t="s">
        <v>22</v>
      </c>
      <c r="D48" s="78">
        <f>VLOOKUP(A48,'OHT执行（30%）'!$A:$G,7,FALSE)</f>
        <v>7.1809824328468395</v>
      </c>
      <c r="E48" s="78">
        <f>VLOOKUP(A48,'保障-(10%)'!$A:$G,7,FALSE)</f>
        <v>8.3222676137121798</v>
      </c>
      <c r="F48" s="78">
        <f>IFERROR(VLOOKUP(A48,'影响力-(10%)'!$A$1:$E$55,5,FALSE),AVERAGE('影响力-(10%)'!$E$2:$E$55))</f>
        <v>10</v>
      </c>
      <c r="G48" s="78">
        <f>VLOOKUP(A48,'努力度(10%)'!$A$1:$C$62,3,FALSE)</f>
        <v>7.4200000000000017</v>
      </c>
      <c r="H48" s="78">
        <f>VLOOKUP(A48,'系统价值分（5%）'!A:D,4,FALSE)</f>
        <v>9.4899999999999984</v>
      </c>
      <c r="I48" s="83">
        <f>(0.3*D48+0.1*E48+0.1*F48+0.1*G48+H48*0.05)/0.65</f>
        <v>8.0046484480388767</v>
      </c>
      <c r="J48" s="99">
        <f>COUNTIF(I:I,"&gt;"&amp;I48)+1</f>
        <v>47</v>
      </c>
      <c r="K48" s="5" t="str">
        <f>VLOOKUP(A48,$R:$T,3,FALSE())</f>
        <v>QA</v>
      </c>
      <c r="O48" s="3" t="s">
        <v>27</v>
      </c>
      <c r="P48" s="78"/>
      <c r="R48" s="88" t="s">
        <v>77</v>
      </c>
      <c r="S48" s="91" t="s">
        <v>25</v>
      </c>
      <c r="T48" s="6" t="s">
        <v>20</v>
      </c>
    </row>
    <row r="49" spans="1:20" ht="18.75" customHeight="1">
      <c r="A49" s="3" t="s">
        <v>49</v>
      </c>
      <c r="B49" s="8" t="str">
        <f>VLOOKUP(A49,R:S,2,FALSE)</f>
        <v>学科工具</v>
      </c>
      <c r="C49" s="5" t="s">
        <v>22</v>
      </c>
      <c r="D49" s="78">
        <f>VLOOKUP(A49,'OHT执行（30%）'!$A:$G,7,FALSE)</f>
        <v>6.3458970164396513</v>
      </c>
      <c r="E49" s="78">
        <f>VLOOKUP(A49,'保障-(10%)'!$A:$G,7,FALSE)</f>
        <v>7.90173083590643</v>
      </c>
      <c r="F49" s="78">
        <f>IFERROR(VLOOKUP(A49,'影响力-(10%)'!$A$1:$E$55,5,FALSE),AVERAGE('影响力-(10%)'!$E$2:$E$55))</f>
        <v>10</v>
      </c>
      <c r="G49" s="78">
        <f>VLOOKUP(A49,'努力度(10%)'!$A$1:$C$62,3,FALSE)</f>
        <v>10</v>
      </c>
      <c r="H49" s="78">
        <f>VLOOKUP(A49,'系统价值分（5%）'!A:D,4,FALSE)</f>
        <v>10</v>
      </c>
      <c r="I49" s="83">
        <f>(0.3*D49+0.1*E49+0.1*F49+0.1*G49+H49*0.05)/0.65</f>
        <v>7.990680290034673</v>
      </c>
      <c r="J49" s="99">
        <f>COUNTIF(I:I,"&gt;"&amp;I49)+1</f>
        <v>48</v>
      </c>
      <c r="K49" s="5" t="str">
        <f>VLOOKUP(A49,$R:$T,3,FALSE())</f>
        <v>FE</v>
      </c>
      <c r="O49" s="3" t="s">
        <v>79</v>
      </c>
      <c r="P49" s="78"/>
      <c r="R49" s="88" t="s">
        <v>31</v>
      </c>
      <c r="S49" s="91" t="s">
        <v>50</v>
      </c>
      <c r="T49" s="6" t="s">
        <v>20</v>
      </c>
    </row>
    <row r="50" spans="1:20" ht="18.75" customHeight="1">
      <c r="A50" s="2" t="s">
        <v>55</v>
      </c>
      <c r="B50" s="11" t="str">
        <f>VLOOKUP(A50,R:S,2,FALSE)</f>
        <v>三教服务</v>
      </c>
      <c r="C50" s="5" t="s">
        <v>15</v>
      </c>
      <c r="D50" s="78">
        <f>VLOOKUP(A50,'OHT执行（30%）'!$A:$G,7,FALSE)</f>
        <v>6.7327595361151422</v>
      </c>
      <c r="E50" s="78">
        <f>VLOOKUP(A50,'保障-(10%)'!$A:$G,7,FALSE)</f>
        <v>8.3210602924744403</v>
      </c>
      <c r="F50" s="78">
        <f>IFERROR(VLOOKUP(A50,'影响力-(10%)'!$A$1:$E$55,5,FALSE),AVERAGE('影响力-(10%)'!$E$2:$E$55))</f>
        <v>10</v>
      </c>
      <c r="G50" s="78">
        <f>VLOOKUP(A50,'努力度(10%)'!$A$1:$C$62,3,FALSE)</f>
        <v>7.3999999999999986</v>
      </c>
      <c r="H50" s="78">
        <f>VLOOKUP(A50,'系统价值分（5%）'!A:D,4,FALSE)</f>
        <v>8</v>
      </c>
      <c r="I50" s="83">
        <f>(0.3*D50+0.1*E50+0.1*F50+0.1*G50+H50*0.05)/0.65</f>
        <v>7.6798982924338262</v>
      </c>
      <c r="J50" s="99">
        <f>COUNTIF(I:I,"&gt;"&amp;I50)+1</f>
        <v>49</v>
      </c>
      <c r="K50" s="5" t="str">
        <f>VLOOKUP(A50,$R:$T,3,FALSE())</f>
        <v>RD</v>
      </c>
      <c r="O50" s="3" t="s">
        <v>66</v>
      </c>
      <c r="P50" s="78"/>
      <c r="R50" s="88" t="s">
        <v>65</v>
      </c>
      <c r="S50" s="91" t="s">
        <v>50</v>
      </c>
      <c r="T50" s="6" t="s">
        <v>16</v>
      </c>
    </row>
    <row r="51" spans="1:20" ht="18.75" customHeight="1">
      <c r="A51" s="3" t="s">
        <v>66</v>
      </c>
      <c r="B51" s="9" t="str">
        <f>VLOOKUP(A51,R:S,2,FALSE)</f>
        <v>学员旅程</v>
      </c>
      <c r="C51" s="5" t="s">
        <v>22</v>
      </c>
      <c r="D51" s="78">
        <f>VLOOKUP(A51,'OHT执行（30%）'!$A:$G,7,FALSE)</f>
        <v>6.4459393056702403</v>
      </c>
      <c r="E51" s="78">
        <f>VLOOKUP(A51,'保障-(10%)'!$A:$G,7,FALSE)</f>
        <v>7.0434913990539396</v>
      </c>
      <c r="F51" s="78">
        <f>IFERROR(VLOOKUP(A51,'影响力-(10%)'!$A$1:$E$55,5,FALSE),AVERAGE('影响力-(10%)'!$E$2:$E$55))</f>
        <v>10</v>
      </c>
      <c r="G51" s="78">
        <f>VLOOKUP(A51,'努力度(10%)'!$A$1:$C$62,3,FALSE)</f>
        <v>9.4600000000000009</v>
      </c>
      <c r="H51" s="78">
        <f>VLOOKUP(A51,'系统价值分（5%）'!A:D,4,FALSE)</f>
        <v>8</v>
      </c>
      <c r="I51" s="83">
        <f>(0.3*D51+0.1*E51+0.1*F51+0.1*G51+H51*0.05)/0.65</f>
        <v>7.6678937409330263</v>
      </c>
      <c r="J51" s="99">
        <f>COUNTIF(I:I,"&gt;"&amp;I51)+1</f>
        <v>50</v>
      </c>
      <c r="K51" s="5" t="str">
        <f>VLOOKUP(A51,$R:$T,3,FALSE())</f>
        <v>FE</v>
      </c>
      <c r="O51" s="3" t="s">
        <v>73</v>
      </c>
      <c r="P51" s="78"/>
      <c r="R51" s="88" t="s">
        <v>41</v>
      </c>
      <c r="S51" s="91" t="s">
        <v>50</v>
      </c>
      <c r="T51" s="6" t="s">
        <v>20</v>
      </c>
    </row>
    <row r="52" spans="1:20" ht="18.75" customHeight="1">
      <c r="A52" s="3" t="s">
        <v>58</v>
      </c>
      <c r="B52" s="9" t="str">
        <f>VLOOKUP(A52,R:S,2,FALSE)</f>
        <v>学员旅程</v>
      </c>
      <c r="C52" s="5" t="s">
        <v>22</v>
      </c>
      <c r="D52" s="78">
        <f>VLOOKUP(A52,'OHT执行（30%）'!$A:$G,7,FALSE)</f>
        <v>6.1312794340993175</v>
      </c>
      <c r="E52" s="78">
        <f>VLOOKUP(A52,'保障-(10%)'!$A:$G,7,FALSE)</f>
        <v>7.1884624972796098</v>
      </c>
      <c r="F52" s="78">
        <f>IFERROR(VLOOKUP(A52,'影响力-(10%)'!$A$1:$E$55,5,FALSE),AVERAGE('影响力-(10%)'!$E$2:$E$55))</f>
        <v>10</v>
      </c>
      <c r="G52" s="78">
        <f>VLOOKUP(A52,'努力度(10%)'!$A$1:$C$62,3,FALSE)</f>
        <v>9.5799999999999983</v>
      </c>
      <c r="H52" s="78">
        <f>VLOOKUP(A52,'系统价值分（5%）'!A:D,4,FALSE)</f>
        <v>8</v>
      </c>
      <c r="I52" s="83">
        <f>(0.3*D52+0.1*E52+0.1*F52+0.1*G52+H52*0.05)/0.65</f>
        <v>7.5634308922427023</v>
      </c>
      <c r="J52" s="99">
        <f>COUNTIF(I:I,"&gt;"&amp;I52)+1</f>
        <v>51</v>
      </c>
      <c r="K52" s="5" t="str">
        <f>VLOOKUP(A52,$R:$T,3,FALSE())</f>
        <v>RD</v>
      </c>
      <c r="O52" s="3" t="s">
        <v>78</v>
      </c>
      <c r="P52" s="78"/>
      <c r="R52" s="89" t="s">
        <v>37</v>
      </c>
      <c r="S52" s="92" t="s">
        <v>30</v>
      </c>
      <c r="T52" s="93" t="s">
        <v>33</v>
      </c>
    </row>
    <row r="53" spans="1:20" ht="16" customHeight="1">
      <c r="A53" s="3" t="s">
        <v>74</v>
      </c>
      <c r="B53" s="9" t="str">
        <f>VLOOKUP(A53,R:S,2,FALSE)</f>
        <v>学员旅程</v>
      </c>
      <c r="C53" s="5" t="s">
        <v>22</v>
      </c>
      <c r="D53" s="78">
        <f>VLOOKUP(A53,'OHT执行（30%）'!$A:$G,7,FALSE)</f>
        <v>6.5138351593058346</v>
      </c>
      <c r="E53" s="78">
        <f>VLOOKUP(A53,'保障-(10%)'!$A:$G,7,FALSE)</f>
        <v>7</v>
      </c>
      <c r="F53" s="78">
        <f>IFERROR(VLOOKUP(A53,'影响力-(10%)'!$A$1:$E$55,5,FALSE),AVERAGE('影响力-(10%)'!$E$2:$E$55))</f>
        <v>10</v>
      </c>
      <c r="G53" s="78">
        <f>VLOOKUP(A53,'努力度(10%)'!$A$1:$C$62,3,FALSE)</f>
        <v>8.48</v>
      </c>
      <c r="H53" s="78">
        <f>VLOOKUP(A53,'系统价值分（5%）'!A:D,4,FALSE)</f>
        <v>8</v>
      </c>
      <c r="I53" s="83">
        <f>(0.3*D53+0.1*E53+0.1*F53+0.1*G53+H53*0.05)/0.65</f>
        <v>7.54177007352577</v>
      </c>
      <c r="J53" s="99">
        <f>COUNTIF(I:I,"&gt;"&amp;I53)+1</f>
        <v>52</v>
      </c>
      <c r="K53" s="5" t="str">
        <f>VLOOKUP(A53,$R:$T,3,FALSE())</f>
        <v>FE</v>
      </c>
      <c r="O53" s="3" t="s">
        <v>80</v>
      </c>
      <c r="P53" s="78"/>
      <c r="R53" s="78" t="s">
        <v>53</v>
      </c>
      <c r="S53" s="78" t="s">
        <v>50</v>
      </c>
      <c r="T53" s="6" t="s">
        <v>33</v>
      </c>
    </row>
    <row r="54" spans="1:20" ht="18.75" customHeight="1" thickBot="1">
      <c r="A54" s="3" t="s">
        <v>51</v>
      </c>
      <c r="B54" s="9" t="str">
        <f>VLOOKUP(A54,R:S,2,FALSE)</f>
        <v>学员旅程</v>
      </c>
      <c r="C54" s="5" t="s">
        <v>22</v>
      </c>
      <c r="D54" s="78">
        <f>VLOOKUP(A54,'OHT执行（30%）'!$A:$G,7,FALSE)</f>
        <v>5.6059395513391728</v>
      </c>
      <c r="E54" s="78">
        <f>VLOOKUP(A54,'保障-(10%)'!$A:$G,7,FALSE)</f>
        <v>8.1999999999999993</v>
      </c>
      <c r="F54" s="78">
        <f>IFERROR(VLOOKUP(A54,'影响力-(10%)'!$A$1:$E$55,5,FALSE),AVERAGE('影响力-(10%)'!$E$2:$E$55))</f>
        <v>10</v>
      </c>
      <c r="G54" s="78">
        <f>VLOOKUP(A54,'努力度(10%)'!$A$1:$C$62,3,FALSE)</f>
        <v>9</v>
      </c>
      <c r="H54" s="78">
        <f>VLOOKUP(A54,'系统价值分（5%）'!A:D,4,FALSE)</f>
        <v>8</v>
      </c>
      <c r="I54" s="83">
        <f>(0.3*D54+0.1*E54+0.1*F54+0.1*G54+H54*0.05)/0.65</f>
        <v>7.3873567160026949</v>
      </c>
      <c r="J54" s="99">
        <f>COUNTIF(I:I,"&gt;"&amp;I54)+1</f>
        <v>53</v>
      </c>
      <c r="K54" s="5" t="str">
        <f>VLOOKUP(A54,$R:$T,3,FALSE())</f>
        <v>QA</v>
      </c>
      <c r="O54" s="3" t="s">
        <v>38</v>
      </c>
      <c r="P54" s="78"/>
      <c r="R54" s="90" t="s">
        <v>178</v>
      </c>
      <c r="S54" s="94" t="s">
        <v>25</v>
      </c>
      <c r="T54" s="95" t="s">
        <v>20</v>
      </c>
    </row>
    <row r="55" spans="1:20" ht="18.75" customHeight="1" thickBot="1">
      <c r="A55" s="3" t="s">
        <v>38</v>
      </c>
      <c r="B55" s="10" t="str">
        <f>VLOOKUP(A55,R:S,2,FALSE)</f>
        <v>三方能力</v>
      </c>
      <c r="C55" s="5" t="s">
        <v>22</v>
      </c>
      <c r="D55" s="78">
        <f>VLOOKUP(A55,'OHT执行（30%）'!$A:$G,7,FALSE)</f>
        <v>5.6059395513391728</v>
      </c>
      <c r="E55" s="78">
        <f>VLOOKUP(A55,'保障-(10%)'!$A:$G,7,FALSE)</f>
        <v>8.1999999999999993</v>
      </c>
      <c r="F55" s="78">
        <f>IFERROR(VLOOKUP(A55,'影响力-(10%)'!$A$1:$E$55,5,FALSE),AVERAGE('影响力-(10%)'!$E$2:$E$55))</f>
        <v>10</v>
      </c>
      <c r="G55" s="78">
        <f>VLOOKUP(A55,'努力度(10%)'!$A$1:$C$63,3,FALSE)</f>
        <v>9</v>
      </c>
      <c r="H55" s="78">
        <f>VLOOKUP(A55,'系统价值分（5%）'!A:D,4,FALSE)</f>
        <v>8</v>
      </c>
      <c r="I55" s="83">
        <f>(0.3*D55+0.1*E55+0.1*F55+0.1*G55+H55*0.05)/0.65</f>
        <v>7.3873567160026949</v>
      </c>
      <c r="J55" s="99">
        <f>COUNTIF(I:I,"&gt;"&amp;I55)+1</f>
        <v>53</v>
      </c>
      <c r="K55" s="5" t="str">
        <f>VLOOKUP(A55,$R:$T,3,FALSE())</f>
        <v>PM</v>
      </c>
      <c r="O55" s="3" t="s">
        <v>81</v>
      </c>
      <c r="P55" s="78"/>
      <c r="R55" s="88" t="s">
        <v>62</v>
      </c>
      <c r="S55" s="91" t="s">
        <v>52</v>
      </c>
      <c r="T55" s="6" t="s">
        <v>36</v>
      </c>
    </row>
    <row r="56" spans="1:20" ht="18.75" customHeight="1">
      <c r="A56" s="3" t="s">
        <v>27</v>
      </c>
      <c r="B56" s="7" t="str">
        <f>VLOOKUP(A56,R:S,2,FALSE)</f>
        <v>站内营销</v>
      </c>
      <c r="C56" s="5" t="s">
        <v>22</v>
      </c>
      <c r="D56" s="78">
        <f>VLOOKUP(A56,'OHT执行（30%）'!$A:$G,7,FALSE)</f>
        <v>5.6059395513391728</v>
      </c>
      <c r="E56" s="78">
        <f>VLOOKUP(A56,'保障-(10%)'!$A:$G,7,FALSE)</f>
        <v>8.1999999999999993</v>
      </c>
      <c r="F56" s="78">
        <f>IFERROR(VLOOKUP(A56,'影响力-(10%)'!$A$1:$E$55,5,FALSE),AVERAGE('影响力-(10%)'!$E$2:$E$55))</f>
        <v>10</v>
      </c>
      <c r="G56" s="78">
        <f>VLOOKUP(A56,'努力度(10%)'!$A$1:$C$62,3,FALSE)</f>
        <v>5.9200000000000017</v>
      </c>
      <c r="H56" s="78">
        <f>VLOOKUP(A56,'系统价值分（5%）'!A:D,4,FALSE)</f>
        <v>10</v>
      </c>
      <c r="I56" s="83">
        <f>(0.3*D56+0.1*E56+0.1*F56+0.1*G56+H56*0.05)/0.65</f>
        <v>7.0673567160026947</v>
      </c>
      <c r="J56" s="99">
        <f>COUNTIF(I:I,"&gt;"&amp;I56)+1</f>
        <v>55</v>
      </c>
      <c r="K56" s="5" t="str">
        <f>VLOOKUP(A56,$R:$T,3,FALSE())</f>
        <v>FE</v>
      </c>
      <c r="O56" s="3" t="s">
        <v>72</v>
      </c>
      <c r="P56" s="78"/>
      <c r="R56" s="89" t="s">
        <v>80</v>
      </c>
      <c r="S56" s="92" t="s">
        <v>25</v>
      </c>
      <c r="T56" s="6" t="s">
        <v>36</v>
      </c>
    </row>
    <row r="57" spans="1:20" ht="16" customHeight="1">
      <c r="A57" s="3" t="s">
        <v>72</v>
      </c>
      <c r="B57" s="11" t="str">
        <f>VLOOKUP(A57,R:S,2,FALSE)</f>
        <v>三教服务</v>
      </c>
      <c r="C57" s="5" t="s">
        <v>22</v>
      </c>
      <c r="D57" s="78">
        <f>VLOOKUP(A57,'OHT执行（30%）'!$A:$G,7,FALSE)</f>
        <v>5.6053559877328407</v>
      </c>
      <c r="E57" s="78">
        <f>VLOOKUP(A57,'保障-(10%)'!$A:$G,7,FALSE)</f>
        <v>7.9984991988014498</v>
      </c>
      <c r="F57" s="78">
        <f>IFERROR(VLOOKUP(A57,'影响力-(10%)'!$A$1:$E$55,5,FALSE),AVERAGE('影响力-(10%)'!$E$2:$E$55))</f>
        <v>10</v>
      </c>
      <c r="G57" s="78">
        <f>VLOOKUP(A57,'努力度(10%)'!$A$1:$C$62,3,FALSE)</f>
        <v>5.2399999999999984</v>
      </c>
      <c r="H57" s="78">
        <f>VLOOKUP(A57,'系统价值分（5%）'!A:D,4,FALSE)</f>
        <v>8</v>
      </c>
      <c r="I57" s="83">
        <f>(0.3*D57+0.1*E57+0.1*F57+0.1*G57+H57*0.05)/0.65</f>
        <v>6.777625717230765</v>
      </c>
      <c r="J57" s="99">
        <f>COUNTIF(I:I,"&gt;"&amp;I57)+1</f>
        <v>56</v>
      </c>
      <c r="K57" s="5" t="str">
        <f>VLOOKUP(A57,$R:$T,3,FALSE())</f>
        <v>FE</v>
      </c>
      <c r="O57" s="3" t="s">
        <v>74</v>
      </c>
      <c r="P57" s="78"/>
      <c r="R57" s="78" t="s">
        <v>67</v>
      </c>
      <c r="S57" s="84" t="s">
        <v>50</v>
      </c>
      <c r="T57" s="6" t="s">
        <v>33</v>
      </c>
    </row>
    <row r="58" spans="1:20" ht="16" customHeight="1">
      <c r="A58" s="79"/>
      <c r="B58" s="80"/>
      <c r="C58" s="80"/>
    </row>
  </sheetData>
  <sortState xmlns:xlrd2="http://schemas.microsoft.com/office/spreadsheetml/2017/richdata2" ref="A2:K58">
    <sortCondition ref="J1:J58"/>
  </sortState>
  <phoneticPr fontId="1" type="noConversion"/>
  <conditionalFormatting sqref="P2:P57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{2E2DB11C-EF22-5342-D5B0-00CC5B2681F2}</x14:id>
        </ext>
      </extLst>
    </cfRule>
  </conditionalFormatting>
  <conditionalFormatting sqref="I1:J1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{972A4B9E-BE34-3303-CE8E-A4ED06B837C7}</x14:id>
        </ext>
      </extLst>
    </cfRule>
  </conditionalFormatting>
  <conditionalFormatting sqref="D1:H200">
    <cfRule type="dataBar" priority="21">
      <dataBar>
        <cfvo type="num" val="6"/>
        <cfvo type="max"/>
        <color rgb="FF008AEF"/>
      </dataBar>
      <extLst>
        <ext xmlns:x14="http://schemas.microsoft.com/office/spreadsheetml/2009/9/main" uri="{B025F937-C7B1-47D3-B67F-A62EFF666E3E}">
          <x14:id>{EFE89260-37A3-7498-44C3-4E1642601B4D}</x14:id>
        </ext>
      </extLst>
    </cfRule>
  </conditionalFormatting>
  <conditionalFormatting sqref="I2:I57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{D51B6B01-6FB2-8771-6163-1378DDCC39B0}</x14:id>
        </ext>
      </extLst>
    </cfRule>
  </conditionalFormatting>
  <conditionalFormatting sqref="C2:C200">
    <cfRule type="cellIs" dxfId="0" priority="38" operator="equal">
      <formula>"是"</formula>
    </cfRule>
  </conditionalFormatting>
  <conditionalFormatting sqref="P1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{3BDA1F45-AC6B-3094-25A7-E519DEDA3ECD}</x14:id>
        </ext>
      </extLst>
    </cfRule>
  </conditionalFormatting>
  <conditionalFormatting sqref="I2:I5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{AACFF3B6-DE1F-16E8-16E1-B81A5CB95366}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2DB11C-EF22-5342-D5B0-00CC5B268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P2:P57</xm:sqref>
        </x14:conditionalFormatting>
        <x14:conditionalFormatting xmlns:xm="http://schemas.microsoft.com/office/excel/2006/main">
          <x14:cfRule type="dataBar" id="{972A4B9E-BE34-3303-CE8E-A4ED06B837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I1:J1</xm:sqref>
        </x14:conditionalFormatting>
        <x14:conditionalFormatting xmlns:xm="http://schemas.microsoft.com/office/excel/2006/main">
          <x14:cfRule type="dataBar" id="{EFE89260-37A3-7498-44C3-4E1642601B4D}">
            <x14:dataBar minLength="0" maxLength="100" border="1" negativeBarBorderColorSameAsPositive="0">
              <x14:cfvo type="num">
                <xm:f>6</xm:f>
              </x14:cfvo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D1:H200</xm:sqref>
        </x14:conditionalFormatting>
        <x14:conditionalFormatting xmlns:xm="http://schemas.microsoft.com/office/excel/2006/main">
          <x14:cfRule type="dataBar" id="{D51B6B01-6FB2-8771-6163-1378DDCC39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I2:I57</xm:sqref>
        </x14:conditionalFormatting>
        <x14:conditionalFormatting xmlns:xm="http://schemas.microsoft.com/office/excel/2006/main">
          <x14:cfRule type="dataBar" id="{3BDA1F45-AC6B-3094-25A7-E519DEDA3E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</xm:sqref>
        </x14:conditionalFormatting>
        <x14:conditionalFormatting xmlns:xm="http://schemas.microsoft.com/office/excel/2006/main">
          <x14:cfRule type="dataBar" id="{AACFF3B6-DE1F-16E8-16E1-B81A5CB953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9EFE-74B8-8D40-840E-D49881CF3042}">
  <sheetPr>
    <outlinePr summaryBelow="0" summaryRight="0"/>
  </sheetPr>
  <dimension ref="A1:H18"/>
  <sheetViews>
    <sheetView workbookViewId="0"/>
  </sheetViews>
  <sheetFormatPr baseColWidth="10" defaultColWidth="10" defaultRowHeight="16.5" customHeight="1"/>
  <cols>
    <col min="1" max="1" width="9.6640625" style="70"/>
    <col min="2" max="3" width="16.5" style="70"/>
    <col min="4" max="4" width="14.6640625" style="70"/>
    <col min="5" max="5" width="13.83203125" style="70"/>
    <col min="6" max="6" width="10.6640625" style="70"/>
    <col min="7" max="7" width="11.1640625" style="70"/>
    <col min="8" max="8" width="14.5" style="70"/>
  </cols>
  <sheetData>
    <row r="1" spans="1:7" ht="16.5" customHeight="1">
      <c r="A1" s="97" t="s">
        <v>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 ht="16.5" customHeight="1">
      <c r="A2" t="s">
        <v>25</v>
      </c>
      <c r="B2" s="98">
        <v>7.9997046668872196</v>
      </c>
      <c r="C2" s="98">
        <v>8.2532583695374395</v>
      </c>
      <c r="D2" s="98">
        <v>8.9514285714285737</v>
      </c>
      <c r="E2" s="98">
        <v>9.2799999999999994</v>
      </c>
      <c r="F2" s="98">
        <v>8.5913539910196413</v>
      </c>
      <c r="G2" s="98">
        <v>23.285714285714285</v>
      </c>
    </row>
    <row r="3" spans="1:7" ht="16.5" customHeight="1">
      <c r="A3" t="s">
        <v>30</v>
      </c>
      <c r="B3" s="98">
        <v>7.876831963152144</v>
      </c>
      <c r="C3" s="98">
        <v>8.1970610784564286</v>
      </c>
      <c r="D3" s="98">
        <v>8.9657142857142844</v>
      </c>
      <c r="E3" s="98">
        <v>9.7142857142857135</v>
      </c>
      <c r="F3" s="98">
        <v>8.5616021708876904</v>
      </c>
      <c r="G3" s="98">
        <v>23.857142857142858</v>
      </c>
    </row>
    <row r="4" spans="1:7" ht="16.5" customHeight="1">
      <c r="A4" t="s">
        <v>35</v>
      </c>
      <c r="B4" s="98">
        <v>7.73927830632047</v>
      </c>
      <c r="C4" s="98">
        <v>8.2775111806797881</v>
      </c>
      <c r="D4" s="98">
        <v>8.4774999999999991</v>
      </c>
      <c r="E4" s="98">
        <v>8</v>
      </c>
      <c r="F4" s="98">
        <v>8.3035147845601855</v>
      </c>
      <c r="G4" s="98">
        <v>31.375</v>
      </c>
    </row>
    <row r="5" spans="1:7" ht="16.5" customHeight="1">
      <c r="A5" t="s">
        <v>14</v>
      </c>
      <c r="B5" s="98">
        <v>8.3329486423317558</v>
      </c>
      <c r="C5" s="98">
        <v>8.2560500894454414</v>
      </c>
      <c r="D5" s="98">
        <v>9.8640000000000008</v>
      </c>
      <c r="E5" s="98">
        <v>10</v>
      </c>
      <c r="F5" s="98">
        <v>8.9413686179139535</v>
      </c>
      <c r="G5" s="98">
        <v>16</v>
      </c>
    </row>
    <row r="6" spans="1:7" ht="16.5" customHeight="1">
      <c r="A6" t="s">
        <v>52</v>
      </c>
      <c r="B6" s="98">
        <v>6.8879859938418351</v>
      </c>
      <c r="C6" s="98">
        <v>7.6218545020870607</v>
      </c>
      <c r="D6" s="98">
        <v>9.0449999999999999</v>
      </c>
      <c r="E6" s="98">
        <v>8</v>
      </c>
      <c r="F6" s="98">
        <v>7.8970480744019333</v>
      </c>
      <c r="G6" s="98">
        <v>43.083333333333336</v>
      </c>
    </row>
    <row r="7" spans="1:7" ht="16.5" customHeight="1">
      <c r="A7" t="s">
        <v>19</v>
      </c>
      <c r="B7" s="98">
        <v>7.9313955812651651</v>
      </c>
      <c r="C7" s="98">
        <v>8.331562855748901</v>
      </c>
      <c r="D7" s="98">
        <v>8.6890909090909094</v>
      </c>
      <c r="E7" s="98">
        <v>10</v>
      </c>
      <c r="F7" s="98">
        <v>8.5868985397900488</v>
      </c>
      <c r="G7" s="98">
        <v>23.90909090909091</v>
      </c>
    </row>
    <row r="8" spans="1:7" ht="16.5" customHeight="1">
      <c r="A8" t="s">
        <v>50</v>
      </c>
      <c r="B8" s="98">
        <v>8.36728870086902</v>
      </c>
      <c r="C8" s="98">
        <v>8.1914847942754907</v>
      </c>
      <c r="D8" s="98">
        <v>9.3199999999999985</v>
      </c>
      <c r="E8" s="98">
        <v>8.2560000000000002</v>
      </c>
      <c r="F8" s="98">
        <v>8.7294385995203925</v>
      </c>
      <c r="G8" s="98">
        <v>19.600000000000001</v>
      </c>
    </row>
    <row r="9" spans="1:7" ht="16.5" customHeight="1">
      <c r="A9" t="s">
        <v>158</v>
      </c>
      <c r="B9" s="98"/>
      <c r="C9" s="98"/>
      <c r="D9" s="98"/>
      <c r="E9" s="98"/>
      <c r="F9" s="98"/>
      <c r="G9" s="98"/>
    </row>
    <row r="10" spans="1:7" ht="16.5" customHeight="1">
      <c r="A10" t="s">
        <v>148</v>
      </c>
      <c r="B10" s="98">
        <v>7.7536791435793102</v>
      </c>
      <c r="C10" s="98">
        <v>8.1221717352415013</v>
      </c>
      <c r="D10" s="98">
        <v>8.9687272727272731</v>
      </c>
      <c r="E10" s="98">
        <v>8.9861818181818176</v>
      </c>
      <c r="F10" s="98">
        <v>8.4376965150457846</v>
      </c>
      <c r="G10" s="98">
        <v>27.981818181818181</v>
      </c>
    </row>
    <row r="12" spans="1:7" ht="16.5" customHeight="1">
      <c r="A12" s="97" t="s">
        <v>10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</row>
    <row r="13" spans="1:7" ht="16.5" customHeight="1">
      <c r="A13" t="s">
        <v>20</v>
      </c>
      <c r="B13" s="98">
        <v>7.5913411770577639</v>
      </c>
      <c r="C13" s="98">
        <v>7.9116466479257168</v>
      </c>
      <c r="D13" s="98">
        <v>8.779047619047617</v>
      </c>
      <c r="E13" s="98">
        <v>8.9447619047619042</v>
      </c>
      <c r="F13" s="98">
        <v>8.2980151923888581</v>
      </c>
      <c r="G13" s="98">
        <v>31.761904761904763</v>
      </c>
    </row>
    <row r="14" spans="1:7" ht="16.5" customHeight="1">
      <c r="A14" t="s">
        <v>33</v>
      </c>
      <c r="B14" s="98">
        <v>7.9600786715833651</v>
      </c>
      <c r="C14" s="98">
        <v>8.150549194991056</v>
      </c>
      <c r="D14" s="98">
        <v>8.8420000000000005</v>
      </c>
      <c r="E14" s="98">
        <v>8.7279999999999998</v>
      </c>
      <c r="F14" s="98">
        <v>8.4979669553447916</v>
      </c>
      <c r="G14" s="98">
        <v>26.7</v>
      </c>
    </row>
    <row r="15" spans="1:7" ht="16.5" customHeight="1">
      <c r="A15" t="s">
        <v>36</v>
      </c>
      <c r="B15" s="98">
        <v>7.5167217878357082</v>
      </c>
      <c r="C15" s="98">
        <v>8.5776795297725528</v>
      </c>
      <c r="D15" s="98">
        <v>8.8142857142857149</v>
      </c>
      <c r="E15" s="98">
        <v>9.0400000000000009</v>
      </c>
      <c r="F15" s="98">
        <v>8.3787893242408291</v>
      </c>
      <c r="G15" s="98">
        <v>27.714285714285715</v>
      </c>
    </row>
    <row r="16" spans="1:7" ht="16.5" customHeight="1">
      <c r="A16" t="s">
        <v>16</v>
      </c>
      <c r="B16" s="98">
        <v>7.9303734675273798</v>
      </c>
      <c r="C16" s="98">
        <v>8.1779774807955405</v>
      </c>
      <c r="D16" s="98">
        <v>9.3411764705882359</v>
      </c>
      <c r="E16" s="98">
        <v>9.1670588235294126</v>
      </c>
      <c r="F16" s="98">
        <v>8.5990467331893257</v>
      </c>
      <c r="G16" s="98">
        <v>24.176470588235293</v>
      </c>
    </row>
    <row r="17" spans="1:7" ht="16.5" customHeight="1">
      <c r="A17" t="s">
        <v>158</v>
      </c>
      <c r="B17" s="98"/>
      <c r="C17" s="98"/>
      <c r="D17" s="98"/>
      <c r="E17" s="98"/>
      <c r="F17" s="98"/>
      <c r="G17" s="98"/>
    </row>
    <row r="18" spans="1:7" ht="16.5" customHeight="1">
      <c r="A18" t="s">
        <v>148</v>
      </c>
      <c r="B18" s="98">
        <v>7.7536791435793102</v>
      </c>
      <c r="C18" s="98">
        <v>8.1221717352415013</v>
      </c>
      <c r="D18" s="98">
        <v>8.9687272727272696</v>
      </c>
      <c r="E18" s="98">
        <v>8.9861818181818158</v>
      </c>
      <c r="F18" s="98">
        <v>8.4376965150457881</v>
      </c>
      <c r="G18" s="98">
        <v>27.981818181818181</v>
      </c>
    </row>
  </sheetData>
  <phoneticPr fontId="1" type="noConversion"/>
  <conditionalFormatting sqref="H2:H8">
    <cfRule type="dataBar" priority="46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{5657531C-7ACF-B40C-76D8-7DA9F6BEDDEF}</x14:id>
        </ext>
      </extLst>
    </cfRule>
  </conditionalFormatting>
  <conditionalFormatting sqref="H13:H16">
    <cfRule type="dataBar" priority="33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{FD32A516-79D3-E486-C7CD-FF47E61B0D98}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57531C-7ACF-B40C-76D8-7DA9F6BEDDEF}">
            <x14:dataBar minLength="0" maxLength="100">
              <x14:cfvo type="autoMin"/>
              <x14:cfvo type="autoMax"/>
              <x14:negativeFillColor rgb="FFF97885"/>
              <x14:axisColor rgb="FFFFFFFF"/>
            </x14:dataBar>
          </x14:cfRule>
          <xm:sqref>H2:H8</xm:sqref>
        </x14:conditionalFormatting>
        <x14:conditionalFormatting xmlns:xm="http://schemas.microsoft.com/office/excel/2006/main">
          <x14:cfRule type="dataBar" id="{FD32A516-79D3-E486-C7CD-FF47E61B0D98}">
            <x14:dataBar minLength="0" maxLength="100">
              <x14:cfvo type="autoMin"/>
              <x14:cfvo type="autoMax"/>
              <x14:negativeFillColor rgb="FFF97885"/>
              <x14:axisColor rgb="FFFFFFFF"/>
            </x14:dataBar>
          </x14:cfRule>
          <xm:sqref>H13:H16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0D5F-9364-EB49-AFF4-3A9DBA58F795}">
  <sheetPr>
    <outlinePr summaryBelow="0" summaryRight="0"/>
  </sheetPr>
  <dimension ref="A1:M57"/>
  <sheetViews>
    <sheetView workbookViewId="0">
      <selection activeCell="E22" sqref="E22"/>
    </sheetView>
  </sheetViews>
  <sheetFormatPr baseColWidth="10" defaultColWidth="9" defaultRowHeight="17.5" customHeight="1"/>
  <cols>
    <col min="1" max="1" width="10" style="51"/>
    <col min="2" max="2" width="11.83203125" style="52" customWidth="1"/>
    <col min="3" max="3" width="10.6640625" style="52" customWidth="1"/>
    <col min="4" max="4" width="11.1640625" style="53" customWidth="1"/>
    <col min="5" max="5" width="11" style="53" customWidth="1"/>
    <col min="6" max="6" width="11.33203125" style="54" customWidth="1"/>
    <col min="7" max="7" width="12.83203125" style="52" customWidth="1"/>
    <col min="8" max="8" width="11.83203125" style="52" customWidth="1"/>
    <col min="10" max="10" width="11.5" style="96" customWidth="1"/>
    <col min="11" max="12" width="12.6640625" style="96"/>
  </cols>
  <sheetData>
    <row r="1" spans="1:13" s="51" customFormat="1" ht="18" customHeight="1">
      <c r="A1" s="55" t="s">
        <v>0</v>
      </c>
      <c r="B1" s="56" t="s">
        <v>88</v>
      </c>
      <c r="C1" s="56" t="s">
        <v>89</v>
      </c>
      <c r="D1" s="57" t="s">
        <v>90</v>
      </c>
      <c r="E1" s="57" t="s">
        <v>91</v>
      </c>
      <c r="F1" s="62" t="s">
        <v>92</v>
      </c>
      <c r="G1" s="56" t="s">
        <v>93</v>
      </c>
      <c r="H1" s="63"/>
      <c r="J1" s="65"/>
      <c r="K1" s="66" t="s">
        <v>1</v>
      </c>
      <c r="L1" s="65" t="s">
        <v>50</v>
      </c>
    </row>
    <row r="2" spans="1:13" ht="18" customHeight="1">
      <c r="A2" s="61" t="s">
        <v>23</v>
      </c>
      <c r="B2" s="59">
        <f>IFERROR(VLOOKUP(A2,'OHT-车厢数据'!$A:$E,5,FALSE),0)</f>
        <v>106.908019999999</v>
      </c>
      <c r="C2" s="59">
        <f>IFERROR(VLOOKUP(A2,'OHT-站台数据'!$A:$B,2,FALSE),0)</f>
        <v>101.2</v>
      </c>
      <c r="D2" s="60">
        <f t="shared" ref="D2:D33" si="0">IF(B2&gt;K2,_xlfn.NORM.DIST(B2,K$2,K$4,TRUE),_xlfn.NORM.DIST(B2,K$2,K$5,TRUE))</f>
        <v>0.97756389172743874</v>
      </c>
      <c r="E2" s="60">
        <f t="shared" ref="E2:E33" si="1">IF(C2&gt;L2,_xlfn.NORM.DIST(C2,L$2,L$4,TRUE),_xlfn.NORM.DIST(C2,L$2,L$5,TRUE))</f>
        <v>0.3009630618843121</v>
      </c>
      <c r="F2" s="64">
        <f t="shared" ref="F2:F33" si="2">MAX(D2,E2)*0.9+MIN(D2,E2)/5</f>
        <v>0.94000011493155733</v>
      </c>
      <c r="G2" s="59">
        <f t="shared" ref="G2:G33" si="3">(F2-0.1)*4+6</f>
        <v>9.3600004597262298</v>
      </c>
      <c r="J2" s="65" t="s">
        <v>94</v>
      </c>
      <c r="K2" s="67">
        <f>K10</f>
        <v>75.394639999999995</v>
      </c>
      <c r="L2" s="67">
        <f>L10</f>
        <v>122.5</v>
      </c>
    </row>
    <row r="3" spans="1:13" ht="18" customHeight="1">
      <c r="A3" s="61" t="s">
        <v>29</v>
      </c>
      <c r="B3" s="59">
        <f>IFERROR(VLOOKUP(A3,'OHT-车厢数据'!$A:$E,5,FALSE),0)</f>
        <v>86.114549999999994</v>
      </c>
      <c r="C3" s="59">
        <f>IFERROR(VLOOKUP(A3,'OHT-站台数据'!$A:$B,2,FALSE),0)</f>
        <v>191.5</v>
      </c>
      <c r="D3" s="60">
        <f t="shared" si="0"/>
        <v>0.75248495341702148</v>
      </c>
      <c r="E3" s="60">
        <f t="shared" si="1"/>
        <v>0.64225795890335613</v>
      </c>
      <c r="F3" s="64">
        <f t="shared" si="2"/>
        <v>0.80568804985599063</v>
      </c>
      <c r="G3" s="59">
        <f t="shared" si="3"/>
        <v>8.822752199423963</v>
      </c>
      <c r="J3" s="65" t="s">
        <v>95</v>
      </c>
      <c r="K3" s="67">
        <f>STDEV(B:B)</f>
        <v>33.394484617781643</v>
      </c>
      <c r="L3" s="67">
        <f t="array" ref="L3">_xlfn.STDEV.S(IF(C:C&gt;0,C:C))</f>
        <v>177.02132790952678</v>
      </c>
    </row>
    <row r="4" spans="1:13" ht="18" customHeight="1">
      <c r="A4" s="58" t="s">
        <v>13</v>
      </c>
      <c r="B4" s="59">
        <f>IFERROR(VLOOKUP(A4,'OHT-车厢数据'!$A:$E,5,FALSE),0)</f>
        <v>97.363309999999998</v>
      </c>
      <c r="C4" s="59">
        <f>IFERROR(VLOOKUP(A4,'OHT-站台数据'!$A:$B,2,FALSE),0)</f>
        <v>0</v>
      </c>
      <c r="D4" s="60">
        <f t="shared" si="0"/>
        <v>0.91899185963588637</v>
      </c>
      <c r="E4" s="60">
        <f t="shared" si="1"/>
        <v>1.3498980316300933E-3</v>
      </c>
      <c r="F4" s="64">
        <f t="shared" si="2"/>
        <v>0.82736265327862379</v>
      </c>
      <c r="G4" s="59">
        <f t="shared" si="3"/>
        <v>8.9094506131144957</v>
      </c>
      <c r="J4" s="68" t="s">
        <v>96</v>
      </c>
      <c r="K4" s="69">
        <f>(MAX(B:B)-K2)/3</f>
        <v>15.710733333333001</v>
      </c>
      <c r="L4" s="69">
        <f>(MAX(C:C)-L2)/3</f>
        <v>189.29999999999998</v>
      </c>
    </row>
    <row r="5" spans="1:13" ht="18" customHeight="1">
      <c r="A5" s="61" t="s">
        <v>63</v>
      </c>
      <c r="B5" s="59">
        <f>IFERROR(VLOOKUP(A5,'OHT-车厢数据'!$A:$E,5,FALSE),0)</f>
        <v>122.526839999999</v>
      </c>
      <c r="C5" s="59">
        <f>IFERROR(VLOOKUP(A5,'OHT-站台数据'!$A:$B,2,FALSE),0)</f>
        <v>67.349999999999994</v>
      </c>
      <c r="D5" s="60">
        <f t="shared" si="0"/>
        <v>0.9986501019683699</v>
      </c>
      <c r="E5" s="60">
        <f t="shared" si="1"/>
        <v>0.38539698617852314</v>
      </c>
      <c r="F5" s="64">
        <f t="shared" si="2"/>
        <v>0.97586448900723755</v>
      </c>
      <c r="G5" s="59">
        <f t="shared" si="3"/>
        <v>9.5034579560289494</v>
      </c>
      <c r="J5" s="68" t="s">
        <v>97</v>
      </c>
      <c r="K5" s="69">
        <f>(K2)/3</f>
        <v>25.131546666666665</v>
      </c>
      <c r="L5" s="69">
        <f>(L2)/3</f>
        <v>40.833333333333336</v>
      </c>
    </row>
    <row r="6" spans="1:13" ht="18" customHeight="1">
      <c r="A6" s="61" t="s">
        <v>32</v>
      </c>
      <c r="B6" s="59">
        <f>IFERROR(VLOOKUP(A6,'OHT-车厢数据'!$A:$E,5,FALSE),0)</f>
        <v>111.28586</v>
      </c>
      <c r="C6" s="59">
        <f>IFERROR(VLOOKUP(A6,'OHT-站台数据'!$A:$B,2,FALSE),0)</f>
        <v>0</v>
      </c>
      <c r="D6" s="60">
        <f t="shared" si="0"/>
        <v>0.98882901155722136</v>
      </c>
      <c r="E6" s="60">
        <f t="shared" si="1"/>
        <v>1.3498980316300933E-3</v>
      </c>
      <c r="F6" s="64">
        <f t="shared" si="2"/>
        <v>0.89021609000782531</v>
      </c>
      <c r="G6" s="59">
        <f t="shared" si="3"/>
        <v>9.1608643600313009</v>
      </c>
    </row>
    <row r="7" spans="1:13" ht="18" customHeight="1">
      <c r="A7" s="61" t="s">
        <v>21</v>
      </c>
      <c r="B7" s="59">
        <f>IFERROR(VLOOKUP(A7,'OHT-车厢数据'!$A:$E,5,FALSE),0)</f>
        <v>115.06578</v>
      </c>
      <c r="C7" s="59">
        <f>IFERROR(VLOOKUP(A7,'OHT-站台数据'!$A:$B,2,FALSE),0)</f>
        <v>95.6</v>
      </c>
      <c r="D7" s="60">
        <f t="shared" si="0"/>
        <v>0.9942166971490396</v>
      </c>
      <c r="E7" s="60">
        <f t="shared" si="1"/>
        <v>0.44349952853225189</v>
      </c>
      <c r="F7" s="64">
        <f t="shared" si="2"/>
        <v>0.983494933140586</v>
      </c>
      <c r="G7" s="59">
        <f t="shared" si="3"/>
        <v>9.5339797325623437</v>
      </c>
    </row>
    <row r="8" spans="1:13" ht="18" customHeight="1">
      <c r="A8" s="61" t="s">
        <v>53</v>
      </c>
      <c r="B8" s="59">
        <f>IFERROR(VLOOKUP(A8,'OHT-车厢数据'!$A:$E,5,FALSE),0)</f>
        <v>2.73443999999999</v>
      </c>
      <c r="C8" s="59">
        <f>IFERROR(VLOOKUP(A8,'OHT-站台数据'!$A:$B,2,FALSE),0)</f>
        <v>362.45</v>
      </c>
      <c r="D8" s="60">
        <f t="shared" si="0"/>
        <v>1.9189000495311091E-3</v>
      </c>
      <c r="E8" s="60">
        <f t="shared" si="1"/>
        <v>0.89752327980830171</v>
      </c>
      <c r="F8" s="64">
        <f t="shared" si="2"/>
        <v>0.80815473183737785</v>
      </c>
      <c r="G8" s="59">
        <f t="shared" si="3"/>
        <v>8.832618927349511</v>
      </c>
      <c r="J8" s="121" t="s">
        <v>98</v>
      </c>
      <c r="K8" s="69">
        <f>AVERAGEIF(B:B,"&gt;0",B:B)</f>
        <v>69.881534905660317</v>
      </c>
      <c r="L8" s="69">
        <f>AVERAGEIF(C:C,"&gt;0",C:C)</f>
        <v>194.82293103448276</v>
      </c>
      <c r="M8" s="68" t="s">
        <v>99</v>
      </c>
    </row>
    <row r="9" spans="1:13" ht="18" customHeight="1">
      <c r="A9" s="61" t="s">
        <v>31</v>
      </c>
      <c r="B9" s="59">
        <f>IFERROR(VLOOKUP(A9,'OHT-车厢数据'!$A:$E,5,FALSE),0)</f>
        <v>5.0797299999999899</v>
      </c>
      <c r="C9" s="59">
        <f>IFERROR(VLOOKUP(A9,'OHT-站台数据'!$A:$B,2,FALSE),0)</f>
        <v>606.75</v>
      </c>
      <c r="D9" s="60">
        <f t="shared" si="0"/>
        <v>2.5720059028448046E-3</v>
      </c>
      <c r="E9" s="60">
        <f t="shared" si="1"/>
        <v>0.99473784238386931</v>
      </c>
      <c r="F9" s="64">
        <f t="shared" si="2"/>
        <v>0.89577845932605138</v>
      </c>
      <c r="G9" s="59">
        <f t="shared" si="3"/>
        <v>9.1831138373042052</v>
      </c>
      <c r="J9" s="121"/>
      <c r="K9" s="67">
        <f>MAX(B:B)/2</f>
        <v>61.263419999999499</v>
      </c>
      <c r="L9" s="67">
        <f>MAX(C:C)/2</f>
        <v>345.2</v>
      </c>
      <c r="M9" s="68" t="s">
        <v>100</v>
      </c>
    </row>
    <row r="10" spans="1:13" ht="18" customHeight="1">
      <c r="A10" s="58" t="s">
        <v>55</v>
      </c>
      <c r="B10" s="59">
        <f>IFERROR(VLOOKUP(A10,'OHT-车厢数据'!$A:$E,5,FALSE),0)</f>
        <v>63.24248</v>
      </c>
      <c r="C10" s="59">
        <f>IFERROR(VLOOKUP(A10,'OHT-站台数据'!$A:$B,2,FALSE),0)</f>
        <v>0</v>
      </c>
      <c r="D10" s="60">
        <f t="shared" si="0"/>
        <v>0.31435544935828841</v>
      </c>
      <c r="E10" s="60">
        <f t="shared" si="1"/>
        <v>1.3498980316300933E-3</v>
      </c>
      <c r="F10" s="64">
        <f t="shared" si="2"/>
        <v>0.28318988402878559</v>
      </c>
      <c r="G10" s="59">
        <f t="shared" si="3"/>
        <v>6.7327595361151422</v>
      </c>
      <c r="J10" s="121"/>
      <c r="K10" s="69">
        <f t="array" ref="K10">_xlfn.AGGREGATE(15,6,B:B/(B:B&gt;0),(COUNTIF(B:B,"&gt;0")+1)/2)</f>
        <v>75.394639999999995</v>
      </c>
      <c r="L10" s="69">
        <f t="array" ref="L10">_xlfn.AGGREGATE(15,6,C:C/(C:C&gt;0),(COUNTIF(C:C,"&gt;0")+1)/2)</f>
        <v>122.5</v>
      </c>
      <c r="M10" s="68" t="s">
        <v>101</v>
      </c>
    </row>
    <row r="11" spans="1:13" ht="18" customHeight="1">
      <c r="A11" s="61" t="s">
        <v>26</v>
      </c>
      <c r="B11" s="59">
        <f>IFERROR(VLOOKUP(A11,'OHT-车厢数据'!$A:$E,5,FALSE),0)</f>
        <v>91.966809999999995</v>
      </c>
      <c r="C11" s="59">
        <f>IFERROR(VLOOKUP(A11,'OHT-站台数据'!$A:$B,2,FALSE),0)</f>
        <v>0</v>
      </c>
      <c r="D11" s="60">
        <f t="shared" si="0"/>
        <v>0.85424870908103678</v>
      </c>
      <c r="E11" s="60">
        <f t="shared" si="1"/>
        <v>1.3498980316300933E-3</v>
      </c>
      <c r="F11" s="64">
        <f t="shared" si="2"/>
        <v>0.76909381777925911</v>
      </c>
      <c r="G11" s="59">
        <f t="shared" si="3"/>
        <v>8.6763752711170365</v>
      </c>
    </row>
    <row r="12" spans="1:13" ht="18" customHeight="1">
      <c r="A12" s="61" t="s">
        <v>41</v>
      </c>
      <c r="B12" s="59">
        <f>IFERROR(VLOOKUP(A12,'OHT-车厢数据'!$A:$E,5,FALSE),0)</f>
        <v>2.73443999999999</v>
      </c>
      <c r="C12" s="59">
        <f>IFERROR(VLOOKUP(A12,'OHT-站台数据'!$A:$B,2,FALSE),0)</f>
        <v>690.4</v>
      </c>
      <c r="D12" s="60">
        <f t="shared" si="0"/>
        <v>1.8741091188191751E-6</v>
      </c>
      <c r="E12" s="60">
        <f t="shared" si="1"/>
        <v>0.9986501019683699</v>
      </c>
      <c r="F12" s="64">
        <f t="shared" si="2"/>
        <v>0.89878546659335667</v>
      </c>
      <c r="G12" s="59">
        <f t="shared" si="3"/>
        <v>9.1951418663734259</v>
      </c>
    </row>
    <row r="13" spans="1:13" ht="18" customHeight="1">
      <c r="A13" s="58" t="s">
        <v>48</v>
      </c>
      <c r="B13" s="59">
        <f>IFERROR(VLOOKUP(A13,'OHT-车厢数据'!$A:$E,5,FALSE),0)</f>
        <v>99.947209999999998</v>
      </c>
      <c r="C13" s="59">
        <f>IFERROR(VLOOKUP(A13,'OHT-站台数据'!$A:$B,2,FALSE),0)</f>
        <v>0</v>
      </c>
      <c r="D13" s="60">
        <f t="shared" si="0"/>
        <v>0.9409489494557951</v>
      </c>
      <c r="E13" s="60">
        <f t="shared" si="1"/>
        <v>1.3498980316300933E-3</v>
      </c>
      <c r="F13" s="64">
        <f t="shared" si="2"/>
        <v>0.84712403411654158</v>
      </c>
      <c r="G13" s="59">
        <f t="shared" si="3"/>
        <v>8.988496136466166</v>
      </c>
    </row>
    <row r="14" spans="1:13" ht="18" customHeight="1">
      <c r="A14" s="61" t="s">
        <v>56</v>
      </c>
      <c r="B14" s="59">
        <f>IFERROR(VLOOKUP(A14,'OHT-车厢数据'!$A:$E,5,FALSE),0)</f>
        <v>75.394639999999995</v>
      </c>
      <c r="C14" s="59">
        <f>IFERROR(VLOOKUP(A14,'OHT-站台数据'!$A:$B,2,FALSE),0)</f>
        <v>0</v>
      </c>
      <c r="D14" s="60">
        <f t="shared" si="0"/>
        <v>0.5</v>
      </c>
      <c r="E14" s="60">
        <f t="shared" si="1"/>
        <v>1.3498980316300933E-3</v>
      </c>
      <c r="F14" s="64">
        <f t="shared" si="2"/>
        <v>0.45026997960632603</v>
      </c>
      <c r="G14" s="59">
        <f t="shared" si="3"/>
        <v>7.401079918425304</v>
      </c>
    </row>
    <row r="15" spans="1:13" ht="18" customHeight="1">
      <c r="A15" s="61" t="s">
        <v>57</v>
      </c>
      <c r="B15" s="59">
        <f>IFERROR(VLOOKUP(A15,'OHT-车厢数据'!$A:$E,5,FALSE),0)</f>
        <v>98.468810000000005</v>
      </c>
      <c r="C15" s="59">
        <f>IFERROR(VLOOKUP(A15,'OHT-站台数据'!$A:$B,2,FALSE),0)</f>
        <v>0</v>
      </c>
      <c r="D15" s="60">
        <f t="shared" si="0"/>
        <v>0.92904132183121324</v>
      </c>
      <c r="E15" s="60">
        <f t="shared" si="1"/>
        <v>1.3498980316300933E-3</v>
      </c>
      <c r="F15" s="64">
        <f t="shared" si="2"/>
        <v>0.83640716925441794</v>
      </c>
      <c r="G15" s="59">
        <f t="shared" si="3"/>
        <v>8.9456286770176714</v>
      </c>
    </row>
    <row r="16" spans="1:13" ht="18" customHeight="1">
      <c r="A16" s="61" t="s">
        <v>43</v>
      </c>
      <c r="B16" s="59">
        <f>IFERROR(VLOOKUP(A16,'OHT-车厢数据'!$A:$E,5,FALSE),0)</f>
        <v>81.675470000000004</v>
      </c>
      <c r="C16" s="59">
        <f>IFERROR(VLOOKUP(A16,'OHT-站台数据'!$A:$B,2,FALSE),0)</f>
        <v>0</v>
      </c>
      <c r="D16" s="60">
        <f t="shared" si="0"/>
        <v>0.65534055517239975</v>
      </c>
      <c r="E16" s="60">
        <f t="shared" si="1"/>
        <v>1.3498980316300933E-3</v>
      </c>
      <c r="F16" s="64">
        <f t="shared" si="2"/>
        <v>0.59007647926148576</v>
      </c>
      <c r="G16" s="59">
        <f t="shared" si="3"/>
        <v>7.9603059170459431</v>
      </c>
    </row>
    <row r="17" spans="1:7" ht="18" customHeight="1">
      <c r="A17" s="61" t="s">
        <v>37</v>
      </c>
      <c r="B17" s="59">
        <f>IFERROR(VLOOKUP(A17,'OHT-车厢数据'!$A:$E,5,FALSE),0)</f>
        <v>95.324579999999898</v>
      </c>
      <c r="C17" s="59">
        <f>IFERROR(VLOOKUP(A17,'OHT-站台数据'!$A:$B,2,FALSE),0)</f>
        <v>0</v>
      </c>
      <c r="D17" s="60">
        <f t="shared" si="0"/>
        <v>0.89770020992952804</v>
      </c>
      <c r="E17" s="60">
        <f t="shared" si="1"/>
        <v>1.3498980316300933E-3</v>
      </c>
      <c r="F17" s="64">
        <f t="shared" si="2"/>
        <v>0.80820016854290122</v>
      </c>
      <c r="G17" s="59">
        <f t="shared" si="3"/>
        <v>8.8328006741716045</v>
      </c>
    </row>
    <row r="18" spans="1:7" ht="18" customHeight="1">
      <c r="A18" s="61" t="s">
        <v>17</v>
      </c>
      <c r="B18" s="59">
        <f>IFERROR(VLOOKUP(A18,'OHT-车厢数据'!$A:$E,5,FALSE),0)</f>
        <v>99.539640000000006</v>
      </c>
      <c r="C18" s="59">
        <f>IFERROR(VLOOKUP(A18,'OHT-站台数据'!$A:$B,2,FALSE),0)</f>
        <v>0</v>
      </c>
      <c r="D18" s="60">
        <f t="shared" si="0"/>
        <v>0.93783466110077718</v>
      </c>
      <c r="E18" s="60">
        <f t="shared" si="1"/>
        <v>1.3498980316300933E-3</v>
      </c>
      <c r="F18" s="64">
        <f t="shared" si="2"/>
        <v>0.84432117459702549</v>
      </c>
      <c r="G18" s="59">
        <f t="shared" si="3"/>
        <v>8.9772846983881021</v>
      </c>
    </row>
    <row r="19" spans="1:7" ht="18" customHeight="1">
      <c r="A19" s="61" t="s">
        <v>28</v>
      </c>
      <c r="B19" s="59">
        <f>IFERROR(VLOOKUP(A19,'OHT-车厢数据'!$A:$E,5,FALSE),0)</f>
        <v>97.428830000000005</v>
      </c>
      <c r="C19" s="59">
        <f>IFERROR(VLOOKUP(A19,'OHT-站台数据'!$A:$B,2,FALSE),0)</f>
        <v>0</v>
      </c>
      <c r="D19" s="60">
        <f t="shared" si="0"/>
        <v>0.9196159268393459</v>
      </c>
      <c r="E19" s="60">
        <f t="shared" si="1"/>
        <v>1.3498980316300933E-3</v>
      </c>
      <c r="F19" s="64">
        <f t="shared" si="2"/>
        <v>0.82792431376173736</v>
      </c>
      <c r="G19" s="59">
        <f t="shared" si="3"/>
        <v>8.9116972550469491</v>
      </c>
    </row>
    <row r="20" spans="1:7" ht="18" customHeight="1">
      <c r="A20" s="61" t="s">
        <v>34</v>
      </c>
      <c r="B20" s="59">
        <f>IFERROR(VLOOKUP(A20,'OHT-车厢数据'!$A:$E,5,FALSE),0)</f>
        <v>85.850380000000001</v>
      </c>
      <c r="C20" s="59">
        <f>IFERROR(VLOOKUP(A20,'OHT-站台数据'!$A:$B,2,FALSE),0)</f>
        <v>133.19999999999999</v>
      </c>
      <c r="D20" s="60">
        <f t="shared" si="0"/>
        <v>0.7471396537024757</v>
      </c>
      <c r="E20" s="60">
        <f t="shared" si="1"/>
        <v>0.52253782588265563</v>
      </c>
      <c r="F20" s="64">
        <f t="shared" si="2"/>
        <v>0.7769332535087593</v>
      </c>
      <c r="G20" s="59">
        <f t="shared" si="3"/>
        <v>8.7077330140350373</v>
      </c>
    </row>
    <row r="21" spans="1:7" ht="18" customHeight="1">
      <c r="A21" s="61" t="s">
        <v>18</v>
      </c>
      <c r="B21" s="59">
        <f>IFERROR(VLOOKUP(A21,'OHT-车厢数据'!$A:$E,5,FALSE),0)</f>
        <v>85.197379999999995</v>
      </c>
      <c r="C21" s="59">
        <f>IFERROR(VLOOKUP(A21,'OHT-站台数据'!$A:$B,2,FALSE),0)</f>
        <v>152.92500000000001</v>
      </c>
      <c r="D21" s="60">
        <f t="shared" si="0"/>
        <v>0.73367037282615566</v>
      </c>
      <c r="E21" s="60">
        <f t="shared" si="1"/>
        <v>0.56384449636632683</v>
      </c>
      <c r="F21" s="64">
        <f t="shared" si="2"/>
        <v>0.77307223481680554</v>
      </c>
      <c r="G21" s="59">
        <f t="shared" si="3"/>
        <v>8.6922889392672218</v>
      </c>
    </row>
    <row r="22" spans="1:7" ht="18" customHeight="1">
      <c r="A22" s="61" t="s">
        <v>44</v>
      </c>
      <c r="B22" s="59">
        <f>IFERROR(VLOOKUP(A22,'OHT-车厢数据'!$A:$E,5,FALSE),0)</f>
        <v>75.747709999999998</v>
      </c>
      <c r="C22" s="59">
        <f>IFERROR(VLOOKUP(A22,'OHT-站台数据'!$A:$B,2,FALSE),0)</f>
        <v>0</v>
      </c>
      <c r="D22" s="60">
        <f t="shared" si="0"/>
        <v>0.50896474356567412</v>
      </c>
      <c r="E22" s="60">
        <f t="shared" si="1"/>
        <v>1.3498980316300933E-3</v>
      </c>
      <c r="F22" s="64">
        <f t="shared" si="2"/>
        <v>0.45833824881543273</v>
      </c>
      <c r="G22" s="59">
        <f t="shared" si="3"/>
        <v>7.433352995261731</v>
      </c>
    </row>
    <row r="23" spans="1:7" ht="18" customHeight="1">
      <c r="A23" s="61" t="s">
        <v>65</v>
      </c>
      <c r="B23" s="59">
        <f>IFERROR(VLOOKUP(A23,'OHT-车厢数据'!$A:$E,5,FALSE),0)</f>
        <v>15.054029999999999</v>
      </c>
      <c r="C23" s="59">
        <f>IFERROR(VLOOKUP(A23,'OHT-站台数据'!$A:$B,2,FALSE),0)</f>
        <v>446</v>
      </c>
      <c r="D23" s="60">
        <f t="shared" si="0"/>
        <v>6.1335679335162066E-5</v>
      </c>
      <c r="E23" s="60">
        <f t="shared" si="1"/>
        <v>0.95626782195419924</v>
      </c>
      <c r="F23" s="64">
        <f t="shared" si="2"/>
        <v>0.86065330689464636</v>
      </c>
      <c r="G23" s="59">
        <f t="shared" si="3"/>
        <v>9.0426132275785847</v>
      </c>
    </row>
    <row r="24" spans="1:7" ht="18" customHeight="1">
      <c r="A24" s="61" t="s">
        <v>64</v>
      </c>
      <c r="B24" s="59">
        <f>IFERROR(VLOOKUP(A24,'OHT-车厢数据'!$A:$E,5,FALSE),0)</f>
        <v>94.20684</v>
      </c>
      <c r="C24" s="59">
        <f>IFERROR(VLOOKUP(A24,'OHT-站台数据'!$A:$B,2,FALSE),0)</f>
        <v>0</v>
      </c>
      <c r="D24" s="60">
        <f t="shared" si="0"/>
        <v>0.88442673997319166</v>
      </c>
      <c r="E24" s="60">
        <f t="shared" si="1"/>
        <v>1.3498980316300933E-3</v>
      </c>
      <c r="F24" s="64">
        <f t="shared" si="2"/>
        <v>0.79625404558219848</v>
      </c>
      <c r="G24" s="59">
        <f t="shared" si="3"/>
        <v>8.7850161823287944</v>
      </c>
    </row>
    <row r="25" spans="1:7" ht="18" customHeight="1">
      <c r="A25" s="61" t="s">
        <v>40</v>
      </c>
      <c r="B25" s="59">
        <f>IFERROR(VLOOKUP(A25,'OHT-车厢数据'!$A:$E,5,FALSE),0)</f>
        <v>75.864450000000005</v>
      </c>
      <c r="C25" s="59">
        <f>IFERROR(VLOOKUP(A25,'OHT-站台数据'!$A:$B,2,FALSE),0)</f>
        <v>0</v>
      </c>
      <c r="D25" s="60">
        <f t="shared" si="0"/>
        <v>0.51192809645198345</v>
      </c>
      <c r="E25" s="60">
        <f t="shared" si="1"/>
        <v>1.3498980316300933E-3</v>
      </c>
      <c r="F25" s="64">
        <f t="shared" si="2"/>
        <v>0.46100526641311113</v>
      </c>
      <c r="G25" s="59">
        <f t="shared" si="3"/>
        <v>7.4440210656524446</v>
      </c>
    </row>
    <row r="26" spans="1:7" ht="18" customHeight="1">
      <c r="A26" s="61" t="s">
        <v>76</v>
      </c>
      <c r="B26" s="59">
        <f>IFERROR(VLOOKUP(A26,'OHT-车厢数据'!$A:$E,5,FALSE),0)</f>
        <v>81.40297000000001</v>
      </c>
      <c r="C26" s="59">
        <f>IFERROR(VLOOKUP(A26,'OHT-站台数据'!$A:$B,2,FALSE),0)</f>
        <v>103.85</v>
      </c>
      <c r="D26" s="60">
        <f t="shared" si="0"/>
        <v>0.64893053168745174</v>
      </c>
      <c r="E26" s="60">
        <f t="shared" si="1"/>
        <v>0.46075935180489441</v>
      </c>
      <c r="F26" s="64">
        <f t="shared" si="2"/>
        <v>0.67618934887968551</v>
      </c>
      <c r="G26" s="59">
        <f t="shared" si="3"/>
        <v>8.3047573955187417</v>
      </c>
    </row>
    <row r="27" spans="1:7" ht="18" customHeight="1">
      <c r="A27" s="61" t="s">
        <v>62</v>
      </c>
      <c r="B27" s="59">
        <f>IFERROR(VLOOKUP(A27,'OHT-车厢数据'!$A:$E,5,FALSE),0)</f>
        <v>72.906469999999999</v>
      </c>
      <c r="C27" s="59">
        <f>IFERROR(VLOOKUP(A27,'OHT-站台数据'!$A:$B,2,FALSE),0)</f>
        <v>65.8</v>
      </c>
      <c r="D27" s="60">
        <f t="shared" si="0"/>
        <v>0.43708109224850983</v>
      </c>
      <c r="E27" s="60">
        <f t="shared" si="1"/>
        <v>0.38226991616343953</v>
      </c>
      <c r="F27" s="64">
        <f t="shared" si="2"/>
        <v>0.46982696625634679</v>
      </c>
      <c r="G27" s="59">
        <f t="shared" si="3"/>
        <v>7.4793078650253868</v>
      </c>
    </row>
    <row r="28" spans="1:7" ht="18" customHeight="1">
      <c r="A28" s="61" t="s">
        <v>39</v>
      </c>
      <c r="B28" s="59">
        <f>IFERROR(VLOOKUP(A28,'OHT-车厢数据'!$A:$E,5,FALSE),0)</f>
        <v>82.24933</v>
      </c>
      <c r="C28" s="59">
        <f>IFERROR(VLOOKUP(A28,'OHT-站台数据'!$A:$B,2,FALSE),0)</f>
        <v>69.75</v>
      </c>
      <c r="D28" s="60">
        <f t="shared" si="0"/>
        <v>0.6686926996327891</v>
      </c>
      <c r="E28" s="60">
        <f t="shared" si="1"/>
        <v>0.39025356636181363</v>
      </c>
      <c r="F28" s="64">
        <f t="shared" si="2"/>
        <v>0.67987414294187287</v>
      </c>
      <c r="G28" s="59">
        <f t="shared" si="3"/>
        <v>8.3194965717674911</v>
      </c>
    </row>
    <row r="29" spans="1:7" ht="18" customHeight="1">
      <c r="A29" s="61" t="s">
        <v>42</v>
      </c>
      <c r="B29" s="59">
        <f>IFERROR(VLOOKUP(A29,'OHT-车厢数据'!$A:$E,5,FALSE),0)</f>
        <v>89.490290000000002</v>
      </c>
      <c r="C29" s="59">
        <f>IFERROR(VLOOKUP(A29,'OHT-站台数据'!$A:$B,2,FALSE),0)</f>
        <v>294.60000000000002</v>
      </c>
      <c r="D29" s="60">
        <f t="shared" si="0"/>
        <v>0.81519355871256938</v>
      </c>
      <c r="E29" s="60">
        <f t="shared" si="1"/>
        <v>0.81836160306202177</v>
      </c>
      <c r="F29" s="64">
        <f t="shared" si="2"/>
        <v>0.89956415449833349</v>
      </c>
      <c r="G29" s="59">
        <f t="shared" si="3"/>
        <v>9.1982566179933336</v>
      </c>
    </row>
    <row r="30" spans="1:7" ht="18" customHeight="1">
      <c r="A30" s="61" t="s">
        <v>47</v>
      </c>
      <c r="B30" s="59">
        <f>IFERROR(VLOOKUP(A30,'OHT-车厢数据'!$A:$E,5,FALSE),0)</f>
        <v>82.402979999999999</v>
      </c>
      <c r="C30" s="59">
        <f>IFERROR(VLOOKUP(A30,'OHT-站台数据'!$A:$B,2,FALSE),0)</f>
        <v>0</v>
      </c>
      <c r="D30" s="60">
        <f t="shared" si="0"/>
        <v>0.67223247898586092</v>
      </c>
      <c r="E30" s="60">
        <f t="shared" si="1"/>
        <v>1.3498980316300933E-3</v>
      </c>
      <c r="F30" s="64">
        <f t="shared" si="2"/>
        <v>0.60527921069360091</v>
      </c>
      <c r="G30" s="59">
        <f t="shared" si="3"/>
        <v>8.0211168427744042</v>
      </c>
    </row>
    <row r="31" spans="1:7" ht="18" customHeight="1">
      <c r="A31" s="61" t="s">
        <v>67</v>
      </c>
      <c r="B31" s="59">
        <f>IFERROR(VLOOKUP(A31,'OHT-车厢数据'!$A:$E,5,FALSE),0)</f>
        <v>22.644110000000001</v>
      </c>
      <c r="C31" s="59">
        <f>IFERROR(VLOOKUP(A31,'OHT-站台数据'!$A:$B,2,FALSE),0)</f>
        <v>146.44</v>
      </c>
      <c r="D31" s="60">
        <f t="shared" si="0"/>
        <v>3.9309594545235203E-4</v>
      </c>
      <c r="E31" s="60">
        <f t="shared" si="1"/>
        <v>0.55031844065347113</v>
      </c>
      <c r="F31" s="64">
        <f t="shared" si="2"/>
        <v>0.49536521577721448</v>
      </c>
      <c r="G31" s="59">
        <f t="shared" si="3"/>
        <v>7.581460863108858</v>
      </c>
    </row>
    <row r="32" spans="1:7" ht="18" customHeight="1">
      <c r="A32" s="58" t="s">
        <v>60</v>
      </c>
      <c r="B32" s="59">
        <f>IFERROR(VLOOKUP(A32,'OHT-车厢数据'!$A:$E,5,FALSE),0)</f>
        <v>105.36082</v>
      </c>
      <c r="C32" s="59">
        <f>IFERROR(VLOOKUP(A32,'OHT-站台数据'!$A:$B,2,FALSE),0)</f>
        <v>122.5</v>
      </c>
      <c r="D32" s="60">
        <f t="shared" si="0"/>
        <v>0.97176364838823859</v>
      </c>
      <c r="E32" s="60">
        <f t="shared" si="1"/>
        <v>0.5</v>
      </c>
      <c r="F32" s="64">
        <f t="shared" si="2"/>
        <v>0.97458728354941471</v>
      </c>
      <c r="G32" s="59">
        <f t="shared" si="3"/>
        <v>9.4983491341976585</v>
      </c>
    </row>
    <row r="33" spans="1:7" ht="18" customHeight="1">
      <c r="A33" s="61" t="s">
        <v>79</v>
      </c>
      <c r="B33" s="59">
        <f>IFERROR(VLOOKUP(A33,'OHT-车厢数据'!$A:$E,5,FALSE),0)</f>
        <v>76.106840000000005</v>
      </c>
      <c r="C33" s="59">
        <f>IFERROR(VLOOKUP(A33,'OHT-站台数据'!$A:$B,2,FALSE),0)</f>
        <v>62.35</v>
      </c>
      <c r="D33" s="60">
        <f t="shared" si="0"/>
        <v>0.51807868562547155</v>
      </c>
      <c r="E33" s="60">
        <f t="shared" si="1"/>
        <v>0.37533744060735641</v>
      </c>
      <c r="F33" s="64">
        <f t="shared" si="2"/>
        <v>0.54133830518439563</v>
      </c>
      <c r="G33" s="59">
        <f t="shared" si="3"/>
        <v>7.7653532207375822</v>
      </c>
    </row>
    <row r="34" spans="1:7" ht="18" customHeight="1">
      <c r="A34" s="61" t="s">
        <v>61</v>
      </c>
      <c r="B34" s="59">
        <f>IFERROR(VLOOKUP(A34,'OHT-车厢数据'!$A:$E,5,FALSE),0)</f>
        <v>52.083219999999997</v>
      </c>
      <c r="C34" s="59">
        <f>IFERROR(VLOOKUP(A34,'OHT-站台数据'!$A:$B,2,FALSE),0)</f>
        <v>342.15</v>
      </c>
      <c r="D34" s="60">
        <f t="shared" ref="D34:D57" si="4">IF(B34&gt;K34,_xlfn.NORM.DIST(B34,K$2,K$4,TRUE),_xlfn.NORM.DIST(B34,K$2,K$5,TRUE))</f>
        <v>6.8932396548740504E-2</v>
      </c>
      <c r="E34" s="60">
        <f t="shared" ref="E34:E57" si="5">IF(C34&gt;L34,_xlfn.NORM.DIST(C34,L$2,L$4,TRUE),_xlfn.NORM.DIST(C34,L$2,L$5,TRUE))</f>
        <v>0.87704225848351047</v>
      </c>
      <c r="F34" s="64">
        <f t="shared" ref="F34:F57" si="6">MAX(D34,E34)*0.9+MIN(D34,E34)/5</f>
        <v>0.80312451194490753</v>
      </c>
      <c r="G34" s="59">
        <f t="shared" ref="G34:G57" si="7">(F34-0.1)*4+6</f>
        <v>8.8124980477796306</v>
      </c>
    </row>
    <row r="35" spans="1:7" ht="18" customHeight="1">
      <c r="A35" s="61" t="s">
        <v>69</v>
      </c>
      <c r="B35" s="59">
        <f>IFERROR(VLOOKUP(A35,'OHT-车厢数据'!$A:$E,5,FALSE),0)</f>
        <v>70.788329999999902</v>
      </c>
      <c r="C35" s="59">
        <f>IFERROR(VLOOKUP(A35,'OHT-站台数据'!$A:$B,2,FALSE),0)</f>
        <v>0</v>
      </c>
      <c r="D35" s="60">
        <f t="shared" si="4"/>
        <v>0.38468651536689724</v>
      </c>
      <c r="E35" s="60">
        <f t="shared" si="5"/>
        <v>1.3498980316300933E-3</v>
      </c>
      <c r="F35" s="64">
        <f t="shared" si="6"/>
        <v>0.34648784343653355</v>
      </c>
      <c r="G35" s="59">
        <f t="shared" si="7"/>
        <v>6.9859513737461345</v>
      </c>
    </row>
    <row r="36" spans="1:7" ht="18" customHeight="1">
      <c r="A36" s="61" t="s">
        <v>75</v>
      </c>
      <c r="B36" s="59">
        <f>IFERROR(VLOOKUP(A36,'OHT-车厢数据'!$A:$E,5,FALSE),0)</f>
        <v>23.259679999999999</v>
      </c>
      <c r="C36" s="59">
        <f>IFERROR(VLOOKUP(A36,'OHT-站台数据'!$A:$B,2,FALSE),0)</f>
        <v>519.35</v>
      </c>
      <c r="D36" s="60">
        <f t="shared" si="4"/>
        <v>4.5262595431405368E-4</v>
      </c>
      <c r="E36" s="60">
        <f t="shared" si="5"/>
        <v>0.98197698527613753</v>
      </c>
      <c r="F36" s="64">
        <f t="shared" si="6"/>
        <v>0.88386981193938663</v>
      </c>
      <c r="G36" s="59">
        <f t="shared" si="7"/>
        <v>9.1354792477575462</v>
      </c>
    </row>
    <row r="37" spans="1:7" ht="18" customHeight="1">
      <c r="A37" s="61" t="s">
        <v>46</v>
      </c>
      <c r="B37" s="59">
        <f>IFERROR(VLOOKUP(A37,'OHT-车厢数据'!$A:$E,5,FALSE),0)</f>
        <v>74.249179999999896</v>
      </c>
      <c r="C37" s="59">
        <f>IFERROR(VLOOKUP(A37,'OHT-站台数据'!$A:$B,2,FALSE),0)</f>
        <v>83.2</v>
      </c>
      <c r="D37" s="60">
        <f t="shared" si="4"/>
        <v>0.47093911043610154</v>
      </c>
      <c r="E37" s="60">
        <f t="shared" si="5"/>
        <v>0.41776792964070952</v>
      </c>
      <c r="F37" s="64">
        <f t="shared" si="6"/>
        <v>0.50739878532063332</v>
      </c>
      <c r="G37" s="59">
        <f t="shared" si="7"/>
        <v>7.6295951412825334</v>
      </c>
    </row>
    <row r="38" spans="1:7" ht="18" customHeight="1">
      <c r="A38" s="58" t="s">
        <v>59</v>
      </c>
      <c r="B38" s="59">
        <f>IFERROR(VLOOKUP(A38,'OHT-车厢数据'!$A:$E,5,FALSE),0)</f>
        <v>85.286450000000002</v>
      </c>
      <c r="C38" s="59">
        <f>IFERROR(VLOOKUP(A38,'OHT-站台数据'!$A:$B,2,FALSE),0)</f>
        <v>0</v>
      </c>
      <c r="D38" s="60">
        <f t="shared" si="4"/>
        <v>0.7355287590035624</v>
      </c>
      <c r="E38" s="60">
        <f t="shared" si="5"/>
        <v>1.3498980316300933E-3</v>
      </c>
      <c r="F38" s="64">
        <f t="shared" si="6"/>
        <v>0.66224586270953223</v>
      </c>
      <c r="G38" s="59">
        <f t="shared" si="7"/>
        <v>8.2489834508381286</v>
      </c>
    </row>
    <row r="39" spans="1:7" ht="18" customHeight="1">
      <c r="A39" s="61" t="s">
        <v>78</v>
      </c>
      <c r="B39" s="59">
        <f>IFERROR(VLOOKUP(A39,'OHT-车厢数据'!$A:$E,5,FALSE),0)</f>
        <v>61.894609999999901</v>
      </c>
      <c r="C39" s="59">
        <f>IFERROR(VLOOKUP(A39,'OHT-站台数据'!$A:$B,2,FALSE),0)</f>
        <v>267.8</v>
      </c>
      <c r="D39" s="60">
        <f t="shared" si="4"/>
        <v>0.19509107824023814</v>
      </c>
      <c r="E39" s="60">
        <f t="shared" si="5"/>
        <v>0.77862708311766049</v>
      </c>
      <c r="F39" s="64">
        <f t="shared" si="6"/>
        <v>0.73978259045394212</v>
      </c>
      <c r="G39" s="59">
        <f t="shared" si="7"/>
        <v>8.5591303618157681</v>
      </c>
    </row>
    <row r="40" spans="1:7" ht="18" customHeight="1">
      <c r="A40" s="61" t="s">
        <v>24</v>
      </c>
      <c r="B40" s="59">
        <f>IFERROR(VLOOKUP(A40,'OHT-车厢数据'!$A:$E,5,FALSE),0)</f>
        <v>74.718379999999996</v>
      </c>
      <c r="C40" s="59">
        <f>IFERROR(VLOOKUP(A40,'OHT-站台数据'!$A:$B,2,FALSE),0)</f>
        <v>0</v>
      </c>
      <c r="D40" s="60">
        <f t="shared" si="4"/>
        <v>0.48283304718637909</v>
      </c>
      <c r="E40" s="60">
        <f t="shared" si="5"/>
        <v>1.3498980316300933E-3</v>
      </c>
      <c r="F40" s="64">
        <f t="shared" si="6"/>
        <v>0.43481972207406722</v>
      </c>
      <c r="G40" s="59">
        <f t="shared" si="7"/>
        <v>7.3392788882962687</v>
      </c>
    </row>
    <row r="41" spans="1:7" ht="18" customHeight="1">
      <c r="A41" s="61" t="s">
        <v>51</v>
      </c>
      <c r="B41" s="59">
        <f>IFERROR(VLOOKUP(A41,'OHT-车厢数据'!$A:$E,5,FALSE),0)</f>
        <v>0</v>
      </c>
      <c r="C41" s="59">
        <f>IFERROR(VLOOKUP(A41,'OHT-站台数据'!$A:$B,2,FALSE),0)</f>
        <v>0</v>
      </c>
      <c r="D41" s="60">
        <f t="shared" si="4"/>
        <v>1.3498980316300933E-3</v>
      </c>
      <c r="E41" s="60">
        <f t="shared" si="5"/>
        <v>1.3498980316300933E-3</v>
      </c>
      <c r="F41" s="64">
        <f t="shared" si="6"/>
        <v>1.4848878347931025E-3</v>
      </c>
      <c r="G41" s="59">
        <f t="shared" si="7"/>
        <v>5.6059395513391728</v>
      </c>
    </row>
    <row r="42" spans="1:7" ht="18" customHeight="1">
      <c r="A42" s="61" t="s">
        <v>54</v>
      </c>
      <c r="B42" s="59">
        <f>IFERROR(VLOOKUP(A42,'OHT-车厢数据'!$A:$E,5,FALSE),0)</f>
        <v>61.0083699999999</v>
      </c>
      <c r="C42" s="59">
        <f>IFERROR(VLOOKUP(A42,'OHT-站台数据'!$A:$B,2,FALSE),0)</f>
        <v>130.19999999999999</v>
      </c>
      <c r="D42" s="60">
        <f t="shared" si="4"/>
        <v>0.17991294253547008</v>
      </c>
      <c r="E42" s="60">
        <f t="shared" si="5"/>
        <v>0.51622297241878923</v>
      </c>
      <c r="F42" s="64">
        <f t="shared" si="6"/>
        <v>0.50058326368400441</v>
      </c>
      <c r="G42" s="59">
        <f t="shared" si="7"/>
        <v>7.6023330547360182</v>
      </c>
    </row>
    <row r="43" spans="1:7" ht="18" customHeight="1">
      <c r="A43" s="61" t="s">
        <v>45</v>
      </c>
      <c r="B43" s="59">
        <f>IFERROR(VLOOKUP(A43,'OHT-车厢数据'!$A:$E,5,FALSE),0)</f>
        <v>81.341790000000003</v>
      </c>
      <c r="C43" s="59">
        <f>IFERROR(VLOOKUP(A43,'OHT-站台数据'!$A:$B,2,FALSE),0)</f>
        <v>0</v>
      </c>
      <c r="D43" s="60">
        <f t="shared" si="4"/>
        <v>0.64748547043659244</v>
      </c>
      <c r="E43" s="60">
        <f t="shared" si="5"/>
        <v>1.3498980316300933E-3</v>
      </c>
      <c r="F43" s="64">
        <f t="shared" si="6"/>
        <v>0.58300690299925928</v>
      </c>
      <c r="G43" s="59">
        <f t="shared" si="7"/>
        <v>7.9320276119970377</v>
      </c>
    </row>
    <row r="44" spans="1:7" ht="18" customHeight="1">
      <c r="A44" s="61" t="s">
        <v>70</v>
      </c>
      <c r="B44" s="59">
        <f>IFERROR(VLOOKUP(A44,'OHT-车厢数据'!$A:$E,5,FALSE),0)</f>
        <v>65.992220000000003</v>
      </c>
      <c r="C44" s="59">
        <f>IFERROR(VLOOKUP(A44,'OHT-站台数据'!$A:$B,2,FALSE),0)</f>
        <v>60</v>
      </c>
      <c r="D44" s="60">
        <f t="shared" si="4"/>
        <v>0.27476281541932857</v>
      </c>
      <c r="E44" s="60">
        <f t="shared" si="5"/>
        <v>0.3706381136295242</v>
      </c>
      <c r="F44" s="64">
        <f t="shared" si="6"/>
        <v>0.38852686535043751</v>
      </c>
      <c r="G44" s="59">
        <f t="shared" si="7"/>
        <v>7.1541074614017504</v>
      </c>
    </row>
    <row r="45" spans="1:7" ht="18" customHeight="1">
      <c r="A45" s="61" t="s">
        <v>68</v>
      </c>
      <c r="B45" s="59">
        <f>IFERROR(VLOOKUP(A45,'OHT-车厢数据'!$A:$E,5,FALSE),0)</f>
        <v>19.620519999999999</v>
      </c>
      <c r="C45" s="59">
        <f>IFERROR(VLOOKUP(A45,'OHT-站台数据'!$A:$B,2,FALSE),0)</f>
        <v>27.05</v>
      </c>
      <c r="D45" s="60">
        <f t="shared" si="4"/>
        <v>1.9256823389672667E-4</v>
      </c>
      <c r="E45" s="60">
        <f t="shared" si="5"/>
        <v>0.30705125208329365</v>
      </c>
      <c r="F45" s="64">
        <f t="shared" si="6"/>
        <v>0.27638464052174366</v>
      </c>
      <c r="G45" s="59">
        <f t="shared" si="7"/>
        <v>6.705538562086975</v>
      </c>
    </row>
    <row r="46" spans="1:7" ht="18" customHeight="1">
      <c r="A46" s="61" t="s">
        <v>27</v>
      </c>
      <c r="B46" s="59">
        <f>IFERROR(VLOOKUP(A46,'OHT-车厢数据'!$A:$E,5,FALSE),0)</f>
        <v>0</v>
      </c>
      <c r="C46" s="59">
        <f>IFERROR(VLOOKUP(A46,'OHT-站台数据'!$A:$B,2,FALSE),0)</f>
        <v>0</v>
      </c>
      <c r="D46" s="60">
        <f t="shared" si="4"/>
        <v>1.3498980316300933E-3</v>
      </c>
      <c r="E46" s="60">
        <f t="shared" si="5"/>
        <v>1.3498980316300933E-3</v>
      </c>
      <c r="F46" s="64">
        <f t="shared" si="6"/>
        <v>1.4848878347931025E-3</v>
      </c>
      <c r="G46" s="59">
        <f t="shared" si="7"/>
        <v>5.6059395513391728</v>
      </c>
    </row>
    <row r="47" spans="1:7" ht="18" customHeight="1">
      <c r="A47" s="61" t="s">
        <v>49</v>
      </c>
      <c r="B47" s="59">
        <f>IFERROR(VLOOKUP(A47,'OHT-车厢数据'!$A:$E,5,FALSE),0)</f>
        <v>62.55509</v>
      </c>
      <c r="C47" s="59">
        <f>IFERROR(VLOOKUP(A47,'OHT-站台数据'!$A:$B,2,FALSE),0)</f>
        <v>0</v>
      </c>
      <c r="D47" s="60">
        <f t="shared" si="4"/>
        <v>0.20689363833731864</v>
      </c>
      <c r="E47" s="60">
        <f t="shared" si="5"/>
        <v>1.3498980316300933E-3</v>
      </c>
      <c r="F47" s="64">
        <f t="shared" si="6"/>
        <v>0.18647425410991281</v>
      </c>
      <c r="G47" s="59">
        <f t="shared" si="7"/>
        <v>6.3458970164396513</v>
      </c>
    </row>
    <row r="48" spans="1:7" ht="18" customHeight="1">
      <c r="A48" s="61" t="s">
        <v>71</v>
      </c>
      <c r="B48" s="59">
        <f>IFERROR(VLOOKUP(A48,'OHT-车厢数据'!$A:$E,5,FALSE),0)</f>
        <v>55.830010000000001</v>
      </c>
      <c r="C48" s="59">
        <f>IFERROR(VLOOKUP(A48,'OHT-站台数据'!$A:$B,2,FALSE),0)</f>
        <v>78</v>
      </c>
      <c r="D48" s="60">
        <f t="shared" si="4"/>
        <v>0.10651011892952859</v>
      </c>
      <c r="E48" s="60">
        <f t="shared" si="5"/>
        <v>0.40707464094472212</v>
      </c>
      <c r="F48" s="64">
        <f t="shared" si="6"/>
        <v>0.38766920063615568</v>
      </c>
      <c r="G48" s="59">
        <f t="shared" si="7"/>
        <v>7.1506768025446226</v>
      </c>
    </row>
    <row r="49" spans="1:7" ht="18" customHeight="1">
      <c r="A49" s="58" t="s">
        <v>77</v>
      </c>
      <c r="B49" s="59">
        <f>IFERROR(VLOOKUP(A49,'OHT-车厢数据'!$A:$E,5,FALSE),0)</f>
        <v>75.156749999999903</v>
      </c>
      <c r="C49" s="59">
        <f>IFERROR(VLOOKUP(A49,'OHT-站台数据'!$A:$B,2,FALSE),0)</f>
        <v>210.8</v>
      </c>
      <c r="D49" s="60">
        <f t="shared" si="4"/>
        <v>0.49395949567474973</v>
      </c>
      <c r="E49" s="60">
        <f t="shared" si="5"/>
        <v>0.67955520401317193</v>
      </c>
      <c r="F49" s="64">
        <f t="shared" si="6"/>
        <v>0.7103915827468047</v>
      </c>
      <c r="G49" s="59">
        <f t="shared" si="7"/>
        <v>8.441566330987218</v>
      </c>
    </row>
    <row r="50" spans="1:7" ht="18" customHeight="1">
      <c r="A50" s="61" t="s">
        <v>80</v>
      </c>
      <c r="B50" s="59">
        <f>IFERROR(VLOOKUP(A50,'OHT-车厢数据'!$A:$E,5,FALSE),0)</f>
        <v>51.962419999999902</v>
      </c>
      <c r="C50" s="59">
        <f>IFERROR(VLOOKUP(A50,'OHT-站台数据'!$A:$B,2,FALSE),0)</f>
        <v>86.25</v>
      </c>
      <c r="D50" s="60">
        <f t="shared" si="4"/>
        <v>6.7917964140475892E-2</v>
      </c>
      <c r="E50" s="60">
        <f t="shared" si="5"/>
        <v>0.42406890598179409</v>
      </c>
      <c r="F50" s="64">
        <f t="shared" si="6"/>
        <v>0.39524560821170984</v>
      </c>
      <c r="G50" s="59">
        <f t="shared" si="7"/>
        <v>7.1809824328468395</v>
      </c>
    </row>
    <row r="51" spans="1:7" ht="18" customHeight="1">
      <c r="A51" s="61" t="s">
        <v>58</v>
      </c>
      <c r="B51" s="59">
        <f>IFERROR(VLOOKUP(A51,'OHT-车厢数据'!$A:$E,5,FALSE),0)</f>
        <v>58.926949999999998</v>
      </c>
      <c r="C51" s="59">
        <f>IFERROR(VLOOKUP(A51,'OHT-站台数据'!$A:$B,2,FALSE),0)</f>
        <v>0</v>
      </c>
      <c r="D51" s="60">
        <f t="shared" si="4"/>
        <v>0.14727764324278164</v>
      </c>
      <c r="E51" s="60">
        <f t="shared" si="5"/>
        <v>1.3498980316300933E-3</v>
      </c>
      <c r="F51" s="64">
        <f t="shared" si="6"/>
        <v>0.1328198585248295</v>
      </c>
      <c r="G51" s="59">
        <f t="shared" si="7"/>
        <v>6.1312794340993175</v>
      </c>
    </row>
    <row r="52" spans="1:7" ht="18" customHeight="1">
      <c r="A52" s="61" t="s">
        <v>66</v>
      </c>
      <c r="B52" s="59">
        <f>IFERROR(VLOOKUP(A52,'OHT-车厢数据'!$A:$E,5,FALSE),0)</f>
        <v>64.027760000000001</v>
      </c>
      <c r="C52" s="59">
        <f>IFERROR(VLOOKUP(A52,'OHT-站台数据'!$A:$B,2,FALSE),0)</f>
        <v>0</v>
      </c>
      <c r="D52" s="60">
        <f t="shared" si="4"/>
        <v>0.23468316312359339</v>
      </c>
      <c r="E52" s="60">
        <f t="shared" si="5"/>
        <v>1.3498980316300933E-3</v>
      </c>
      <c r="F52" s="64">
        <f t="shared" si="6"/>
        <v>0.21148482641756008</v>
      </c>
      <c r="G52" s="59">
        <f t="shared" si="7"/>
        <v>6.4459393056702403</v>
      </c>
    </row>
    <row r="53" spans="1:7" ht="18" customHeight="1">
      <c r="A53" s="61" t="s">
        <v>73</v>
      </c>
      <c r="B53" s="59">
        <f>IFERROR(VLOOKUP(A53,'OHT-车厢数据'!$A:$E,5,FALSE),0)</f>
        <v>69.005629999999996</v>
      </c>
      <c r="C53" s="59">
        <f>IFERROR(VLOOKUP(A53,'OHT-站台数据'!$A:$B,2,FALSE),0)</f>
        <v>46.2</v>
      </c>
      <c r="D53" s="60">
        <f t="shared" si="4"/>
        <v>0.34212691679524843</v>
      </c>
      <c r="E53" s="60">
        <f t="shared" si="5"/>
        <v>0.34345060116659953</v>
      </c>
      <c r="F53" s="64">
        <f t="shared" si="6"/>
        <v>0.37753092440898928</v>
      </c>
      <c r="G53" s="59">
        <f t="shared" si="7"/>
        <v>7.1101236976359576</v>
      </c>
    </row>
    <row r="54" spans="1:7" ht="18" customHeight="1">
      <c r="A54" s="61" t="s">
        <v>74</v>
      </c>
      <c r="B54" s="59">
        <f>IFERROR(VLOOKUP(A54,'OHT-车厢数据'!$A:$E,5,FALSE),0)</f>
        <v>64.972429999999903</v>
      </c>
      <c r="C54" s="59">
        <f>IFERROR(VLOOKUP(A54,'OHT-站台数据'!$A:$B,2,FALSE),0)</f>
        <v>0</v>
      </c>
      <c r="D54" s="60">
        <f t="shared" si="4"/>
        <v>0.2535431224668141</v>
      </c>
      <c r="E54" s="60">
        <f t="shared" si="5"/>
        <v>1.3498980316300933E-3</v>
      </c>
      <c r="F54" s="64">
        <f t="shared" si="6"/>
        <v>0.2284587898264587</v>
      </c>
      <c r="G54" s="59">
        <f t="shared" si="7"/>
        <v>6.5138351593058346</v>
      </c>
    </row>
    <row r="55" spans="1:7" ht="18" customHeight="1">
      <c r="A55" s="61" t="s">
        <v>72</v>
      </c>
      <c r="B55" s="59">
        <f>IFERROR(VLOOKUP(A55,'OHT-车厢数据'!$A:$E,5,FALSE),0)</f>
        <v>24.659789999999902</v>
      </c>
      <c r="C55" s="59">
        <f>IFERROR(VLOOKUP(A55,'OHT-站台数据'!$A:$B,2,FALSE),0)</f>
        <v>0</v>
      </c>
      <c r="D55" s="60">
        <f t="shared" si="4"/>
        <v>6.2044352371594164E-4</v>
      </c>
      <c r="E55" s="60">
        <f t="shared" si="5"/>
        <v>1.3498980316300933E-3</v>
      </c>
      <c r="F55" s="64">
        <f t="shared" si="6"/>
        <v>1.3389969332102724E-3</v>
      </c>
      <c r="G55" s="59">
        <f t="shared" si="7"/>
        <v>5.6053559877328407</v>
      </c>
    </row>
    <row r="56" spans="1:7" ht="18" customHeight="1">
      <c r="A56" s="61" t="s">
        <v>38</v>
      </c>
      <c r="B56" s="59">
        <f>IFERROR(VLOOKUP(A56,'OHT-车厢数据'!$A:$E,5,FALSE),0)</f>
        <v>0</v>
      </c>
      <c r="C56" s="59">
        <f>IFERROR(VLOOKUP(A56,'OHT-站台数据'!$A:$B,2,FALSE),0)</f>
        <v>0</v>
      </c>
      <c r="D56" s="60">
        <f t="shared" si="4"/>
        <v>1.3498980316300933E-3</v>
      </c>
      <c r="E56" s="60">
        <f t="shared" si="5"/>
        <v>1.3498980316300933E-3</v>
      </c>
      <c r="F56" s="64">
        <f t="shared" si="6"/>
        <v>1.4848878347931025E-3</v>
      </c>
      <c r="G56" s="59">
        <f t="shared" si="7"/>
        <v>5.6059395513391728</v>
      </c>
    </row>
    <row r="57" spans="1:7" ht="18" customHeight="1">
      <c r="A57" s="61" t="s">
        <v>178</v>
      </c>
      <c r="B57" s="59">
        <f>IFERROR(VLOOKUP(A57,'OHT-车厢数据'!$A:$E,5,FALSE),0)</f>
        <v>9.0957299999999996</v>
      </c>
      <c r="C57" s="59">
        <f>IFERROR(VLOOKUP(A57,'OHT-站台数据'!$A:$B,2,FALSE),0)</f>
        <v>86.2</v>
      </c>
      <c r="D57" s="60">
        <f t="shared" si="4"/>
        <v>1.2216442634243164E-5</v>
      </c>
      <c r="E57" s="60">
        <f t="shared" si="5"/>
        <v>0.42396544999978786</v>
      </c>
      <c r="F57" s="64">
        <f t="shared" si="6"/>
        <v>0.38157134828833589</v>
      </c>
      <c r="G57" s="59">
        <f t="shared" si="7"/>
        <v>7.1262853931533439</v>
      </c>
    </row>
  </sheetData>
  <mergeCells count="1">
    <mergeCell ref="J8:J10"/>
  </mergeCells>
  <phoneticPr fontId="1" type="noConversion"/>
  <conditionalFormatting sqref="C2:C57">
    <cfRule type="dataBar" priority="1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{14FD560E-8285-ECDD-4CB8-895B760145FE}</x14:id>
        </ext>
      </extLst>
    </cfRule>
  </conditionalFormatting>
  <conditionalFormatting sqref="G2:H57">
    <cfRule type="dataBar" priority="49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{93ED2688-2B92-9C44-7B99-77EF3486C89B}</x14:id>
        </ext>
      </extLst>
    </cfRule>
  </conditionalFormatting>
  <conditionalFormatting sqref="B2:B57">
    <cfRule type="dataBar" priority="2">
      <dataBar>
        <cfvo type="min"/>
        <cfvo type="max"/>
        <color rgb="FFF99570"/>
      </dataBar>
      <extLst>
        <ext xmlns:x14="http://schemas.microsoft.com/office/spreadsheetml/2009/9/main" uri="{B025F937-C7B1-47D3-B67F-A62EFF666E3E}">
          <x14:id>{29FD1B27-0B9D-7777-3C56-CCCDC7D2C303}</x14:id>
        </ext>
      </extLst>
    </cfRule>
  </conditionalFormatting>
  <conditionalFormatting sqref="B2:B57">
    <cfRule type="dataBar" priority="3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{C846A973-4D32-3A4F-B1D6-5146FCF00BD8}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FD560E-8285-ECDD-4CB8-895B760145FE}">
            <x14:dataBar minLength="0" maxLength="100">
              <x14:cfvo type="autoMin"/>
              <x14:cfvo type="autoMax"/>
              <x14:negativeFillColor rgb="FFF97885"/>
              <x14:axisColor rgb="FFFFFFFF"/>
            </x14:dataBar>
          </x14:cfRule>
          <xm:sqref>C2:C57</xm:sqref>
        </x14:conditionalFormatting>
        <x14:conditionalFormatting xmlns:xm="http://schemas.microsoft.com/office/excel/2006/main">
          <x14:cfRule type="dataBar" id="{93ED2688-2B92-9C44-7B99-77EF3486C89B}">
            <x14:dataBar minLength="0" maxLength="100">
              <x14:cfvo type="autoMin"/>
              <x14:cfvo type="autoMax"/>
              <x14:negativeFillColor rgb="FFF97885"/>
              <x14:axisColor rgb="FFFFFFFF"/>
            </x14:dataBar>
          </x14:cfRule>
          <xm:sqref>G2:H57</xm:sqref>
        </x14:conditionalFormatting>
        <x14:conditionalFormatting xmlns:xm="http://schemas.microsoft.com/office/excel/2006/main">
          <x14:cfRule type="dataBar" id="{29FD1B27-0B9D-7777-3C56-CCCDC7D2C303}">
            <x14:dataBar minLength="0" maxLength="100">
              <x14:cfvo type="autoMin"/>
              <x14:cfvo type="autoMax"/>
              <x14:negativeFillColor rgb="FFF97885"/>
              <x14:axisColor rgb="FFFFFFFF"/>
            </x14:dataBar>
          </x14:cfRule>
          <xm:sqref>B2:B57</xm:sqref>
        </x14:conditionalFormatting>
        <x14:conditionalFormatting xmlns:xm="http://schemas.microsoft.com/office/excel/2006/main">
          <x14:cfRule type="dataBar" id="{C846A973-4D32-3A4F-B1D6-5146FCF00BD8}">
            <x14:dataBar minLength="0" maxLength="100">
              <x14:cfvo type="autoMin"/>
              <x14:cfvo type="autoMax"/>
              <x14:negativeFillColor rgb="FFF97885"/>
              <x14:axisColor rgb="FFFFFFFF"/>
            </x14:dataBar>
          </x14:cfRule>
          <xm:sqref>B2:B57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A46D-6CDB-7744-A109-F36F5B69222A}">
  <sheetPr>
    <outlinePr summaryBelow="0" summaryRight="0"/>
  </sheetPr>
  <dimension ref="A1:Y58"/>
  <sheetViews>
    <sheetView workbookViewId="0">
      <selection activeCell="H29" sqref="H29"/>
    </sheetView>
  </sheetViews>
  <sheetFormatPr baseColWidth="10" defaultColWidth="9" defaultRowHeight="17.5" customHeight="1"/>
  <cols>
    <col min="1" max="1" width="10.83203125" style="96" customWidth="1"/>
    <col min="2" max="2" width="18.6640625" style="96" customWidth="1"/>
    <col min="3" max="3" width="8.5" style="96" customWidth="1"/>
    <col min="4" max="4" width="7.1640625" style="96"/>
    <col min="5" max="5" width="14.5" style="96" customWidth="1"/>
  </cols>
  <sheetData>
    <row r="1" spans="1:25" s="46" customFormat="1" ht="17.5" customHeight="1">
      <c r="A1" s="47" t="s">
        <v>0</v>
      </c>
      <c r="B1" s="47" t="s">
        <v>1</v>
      </c>
      <c r="C1" s="47" t="s">
        <v>176</v>
      </c>
      <c r="D1" s="47" t="s">
        <v>102</v>
      </c>
      <c r="E1" s="47" t="s">
        <v>8</v>
      </c>
      <c r="L1" s="123" t="s">
        <v>174</v>
      </c>
      <c r="M1" s="123"/>
      <c r="N1" s="123"/>
      <c r="O1" s="123"/>
      <c r="P1" s="123"/>
      <c r="Q1" s="123"/>
      <c r="T1" s="123" t="s">
        <v>175</v>
      </c>
    </row>
    <row r="2" spans="1:25" ht="17.5" customHeight="1">
      <c r="A2" s="48" t="s">
        <v>23</v>
      </c>
      <c r="B2" s="48" t="s">
        <v>103</v>
      </c>
      <c r="C2" s="48">
        <f>IFERROR(VLOOKUP(A2,$T:$Y,6,0), 0)</f>
        <v>106.908019999999</v>
      </c>
      <c r="D2" s="50">
        <v>0</v>
      </c>
      <c r="E2" s="50">
        <f>SUM(C2:D2)</f>
        <v>106.908019999999</v>
      </c>
      <c r="L2" s="45" t="s">
        <v>109</v>
      </c>
      <c r="M2" s="45" t="s">
        <v>110</v>
      </c>
      <c r="N2" s="45" t="s">
        <v>111</v>
      </c>
      <c r="O2" s="45" t="s">
        <v>112</v>
      </c>
      <c r="P2" s="45" t="s">
        <v>113</v>
      </c>
      <c r="Q2" s="45" t="s">
        <v>114</v>
      </c>
      <c r="T2" s="45" t="s">
        <v>109</v>
      </c>
      <c r="U2" s="45" t="s">
        <v>110</v>
      </c>
      <c r="V2" s="45" t="s">
        <v>111</v>
      </c>
      <c r="W2" s="45" t="s">
        <v>112</v>
      </c>
      <c r="X2" s="45" t="s">
        <v>113</v>
      </c>
      <c r="Y2" s="45" t="s">
        <v>114</v>
      </c>
    </row>
    <row r="3" spans="1:25" ht="17.5" customHeight="1">
      <c r="A3" s="48" t="s">
        <v>32</v>
      </c>
      <c r="B3" s="48" t="s">
        <v>104</v>
      </c>
      <c r="C3" s="48">
        <f t="shared" ref="C3:C56" si="0">IFERROR(VLOOKUP(A3,$T:$Y,6,0), 0)</f>
        <v>84.915859999999995</v>
      </c>
      <c r="D3" s="50">
        <v>26.37</v>
      </c>
      <c r="E3" s="50">
        <f>SUM(C3:D3)</f>
        <v>111.28586</v>
      </c>
      <c r="L3" s="45" t="s">
        <v>63</v>
      </c>
      <c r="M3" s="45" t="s">
        <v>105</v>
      </c>
      <c r="N3" s="45">
        <v>6.0234099999999904</v>
      </c>
      <c r="O3" s="45">
        <v>49.871209999999998</v>
      </c>
      <c r="P3" s="45">
        <v>0</v>
      </c>
      <c r="Q3" s="45">
        <v>55.894620000000003</v>
      </c>
      <c r="T3" t="s">
        <v>63</v>
      </c>
      <c r="U3" t="s">
        <v>105</v>
      </c>
      <c r="V3">
        <v>14.64789</v>
      </c>
      <c r="W3">
        <v>107.87894999999899</v>
      </c>
      <c r="X3">
        <v>0</v>
      </c>
      <c r="Y3">
        <v>122.526839999999</v>
      </c>
    </row>
    <row r="4" spans="1:25" ht="17.5" customHeight="1">
      <c r="A4" s="48" t="s">
        <v>63</v>
      </c>
      <c r="B4" s="48" t="s">
        <v>105</v>
      </c>
      <c r="C4" s="48">
        <f t="shared" si="0"/>
        <v>122.526839999999</v>
      </c>
      <c r="D4" s="50">
        <v>0</v>
      </c>
      <c r="E4" s="50">
        <f>SUM(C4:D4)</f>
        <v>122.526839999999</v>
      </c>
      <c r="L4" s="45" t="s">
        <v>21</v>
      </c>
      <c r="M4" s="45" t="s">
        <v>107</v>
      </c>
      <c r="N4" s="45">
        <v>7.9883600000000001</v>
      </c>
      <c r="O4" s="45">
        <v>40.917270000000002</v>
      </c>
      <c r="P4" s="45">
        <v>6.8537400000000002</v>
      </c>
      <c r="Q4" s="45">
        <v>55.759369999999997</v>
      </c>
      <c r="T4" t="s">
        <v>21</v>
      </c>
      <c r="U4" t="s">
        <v>107</v>
      </c>
      <c r="V4">
        <v>15.0924599999999</v>
      </c>
      <c r="W4">
        <v>85.782449999999997</v>
      </c>
      <c r="X4">
        <v>14.19087</v>
      </c>
      <c r="Y4">
        <v>115.06578</v>
      </c>
    </row>
    <row r="5" spans="1:25" ht="17.5" customHeight="1">
      <c r="A5" s="48" t="s">
        <v>55</v>
      </c>
      <c r="B5" s="48" t="s">
        <v>106</v>
      </c>
      <c r="C5" s="48">
        <f t="shared" si="0"/>
        <v>63.24248</v>
      </c>
      <c r="D5" s="50">
        <v>0</v>
      </c>
      <c r="E5" s="50">
        <f>SUM(C5:D5)</f>
        <v>63.24248</v>
      </c>
      <c r="L5" s="45" t="s">
        <v>48</v>
      </c>
      <c r="M5" s="45" t="s">
        <v>104</v>
      </c>
      <c r="N5" s="45">
        <v>7.51677999999999</v>
      </c>
      <c r="O5" s="45">
        <v>36.372160000000001</v>
      </c>
      <c r="P5" s="45">
        <v>6.7205099999999902</v>
      </c>
      <c r="Q5" s="45">
        <v>50.609450000000002</v>
      </c>
      <c r="T5" t="s">
        <v>23</v>
      </c>
      <c r="U5" t="s">
        <v>103</v>
      </c>
      <c r="V5">
        <v>9.0957299999999996</v>
      </c>
      <c r="W5">
        <v>85.194549999999893</v>
      </c>
      <c r="X5">
        <v>12.61774</v>
      </c>
      <c r="Y5">
        <v>106.908019999999</v>
      </c>
    </row>
    <row r="6" spans="1:25" ht="17.5" customHeight="1">
      <c r="A6" s="48" t="s">
        <v>13</v>
      </c>
      <c r="B6" s="48" t="s">
        <v>107</v>
      </c>
      <c r="C6" s="48">
        <f t="shared" si="0"/>
        <v>97.363309999999998</v>
      </c>
      <c r="D6" s="50">
        <v>0</v>
      </c>
      <c r="E6" s="50">
        <f>SUM(C6:D6)</f>
        <v>97.363309999999998</v>
      </c>
      <c r="L6" s="45" t="s">
        <v>42</v>
      </c>
      <c r="M6" s="45" t="s">
        <v>107</v>
      </c>
      <c r="N6" s="45">
        <v>7.9012799999999999</v>
      </c>
      <c r="O6" s="45">
        <v>36.687049999999999</v>
      </c>
      <c r="P6" s="45">
        <v>5.2945700000000002</v>
      </c>
      <c r="Q6" s="45">
        <v>49.882899999999999</v>
      </c>
      <c r="T6" t="s">
        <v>60</v>
      </c>
      <c r="U6" t="s">
        <v>108</v>
      </c>
      <c r="V6">
        <v>15.694949999999899</v>
      </c>
      <c r="W6">
        <v>74.005589999999998</v>
      </c>
      <c r="X6">
        <v>15.66028</v>
      </c>
      <c r="Y6">
        <v>105.36082</v>
      </c>
    </row>
    <row r="7" spans="1:25" ht="17.5" customHeight="1">
      <c r="A7" s="48" t="s">
        <v>48</v>
      </c>
      <c r="B7" s="48" t="s">
        <v>104</v>
      </c>
      <c r="C7" s="48">
        <f t="shared" si="0"/>
        <v>99.947209999999998</v>
      </c>
      <c r="D7" s="50">
        <v>0</v>
      </c>
      <c r="E7" s="50">
        <f>SUM(C7:D7)</f>
        <v>99.947209999999998</v>
      </c>
      <c r="L7" s="45" t="s">
        <v>60</v>
      </c>
      <c r="M7" s="45" t="s">
        <v>108</v>
      </c>
      <c r="N7" s="45">
        <v>7.3495499999999998</v>
      </c>
      <c r="O7" s="45">
        <v>35.788199999999897</v>
      </c>
      <c r="P7" s="45">
        <v>6.46136</v>
      </c>
      <c r="Q7" s="45">
        <v>49.599109999999897</v>
      </c>
      <c r="T7" t="s">
        <v>48</v>
      </c>
      <c r="U7" t="s">
        <v>104</v>
      </c>
      <c r="V7">
        <v>16.18364</v>
      </c>
      <c r="W7">
        <v>67.324550000000002</v>
      </c>
      <c r="X7">
        <v>16.439019999999999</v>
      </c>
      <c r="Y7">
        <v>99.947209999999998</v>
      </c>
    </row>
    <row r="8" spans="1:25" ht="17.5" customHeight="1">
      <c r="A8" s="48" t="s">
        <v>56</v>
      </c>
      <c r="B8" s="48" t="s">
        <v>106</v>
      </c>
      <c r="C8" s="48">
        <f t="shared" si="0"/>
        <v>75.394639999999995</v>
      </c>
      <c r="D8" s="50">
        <v>0</v>
      </c>
      <c r="E8" s="50">
        <f>SUM(C8:D8)</f>
        <v>75.394639999999995</v>
      </c>
      <c r="L8" s="45" t="s">
        <v>23</v>
      </c>
      <c r="M8" s="45" t="s">
        <v>103</v>
      </c>
      <c r="N8" s="45">
        <v>5.3918600000000003</v>
      </c>
      <c r="O8" s="45">
        <v>36.542559999999902</v>
      </c>
      <c r="P8" s="45">
        <v>5.7878499999999997</v>
      </c>
      <c r="Q8" s="45">
        <v>47.722270000000002</v>
      </c>
      <c r="T8" t="s">
        <v>17</v>
      </c>
      <c r="U8" t="s">
        <v>104</v>
      </c>
      <c r="V8">
        <v>16.35914</v>
      </c>
      <c r="W8">
        <v>69.491010000000003</v>
      </c>
      <c r="X8">
        <v>13.689489999999999</v>
      </c>
      <c r="Y8">
        <v>99.539640000000006</v>
      </c>
    </row>
    <row r="9" spans="1:25" ht="17.5" customHeight="1">
      <c r="A9" s="48" t="s">
        <v>21</v>
      </c>
      <c r="B9" s="48" t="s">
        <v>107</v>
      </c>
      <c r="C9" s="48">
        <f t="shared" si="0"/>
        <v>115.06578</v>
      </c>
      <c r="D9" s="50">
        <v>0</v>
      </c>
      <c r="E9" s="50">
        <f>SUM(C9:D9)</f>
        <v>115.06578</v>
      </c>
      <c r="L9" s="45" t="s">
        <v>13</v>
      </c>
      <c r="M9" s="45" t="s">
        <v>107</v>
      </c>
      <c r="N9" s="45">
        <v>7.89778</v>
      </c>
      <c r="O9" s="45">
        <v>32.738109999999999</v>
      </c>
      <c r="P9" s="45">
        <v>6.67117</v>
      </c>
      <c r="Q9" s="45">
        <v>47.3070599999999</v>
      </c>
      <c r="T9" t="s">
        <v>57</v>
      </c>
      <c r="U9" t="s">
        <v>106</v>
      </c>
      <c r="V9">
        <v>13.3763399999999</v>
      </c>
      <c r="W9">
        <v>80.314779999999999</v>
      </c>
      <c r="X9">
        <v>4.7776899999999998</v>
      </c>
      <c r="Y9">
        <v>98.468810000000005</v>
      </c>
    </row>
    <row r="10" spans="1:25" ht="17.5" customHeight="1">
      <c r="A10" s="48" t="s">
        <v>17</v>
      </c>
      <c r="B10" s="48" t="s">
        <v>104</v>
      </c>
      <c r="C10" s="48">
        <f t="shared" si="0"/>
        <v>99.539640000000006</v>
      </c>
      <c r="D10" s="50">
        <v>0</v>
      </c>
      <c r="E10" s="50">
        <f>SUM(C10:D10)</f>
        <v>99.539640000000006</v>
      </c>
      <c r="L10" s="45" t="s">
        <v>57</v>
      </c>
      <c r="M10" s="45" t="s">
        <v>106</v>
      </c>
      <c r="N10" s="45">
        <v>6.7043399999999904</v>
      </c>
      <c r="O10" s="45">
        <v>37.055689999999998</v>
      </c>
      <c r="P10" s="45">
        <v>2.6355599999999999</v>
      </c>
      <c r="Q10" s="45">
        <v>46.395589999999899</v>
      </c>
      <c r="T10" t="s">
        <v>28</v>
      </c>
      <c r="U10" t="s">
        <v>104</v>
      </c>
      <c r="V10">
        <v>16.02581</v>
      </c>
      <c r="W10">
        <v>76.118009999999998</v>
      </c>
      <c r="X10">
        <v>5.2850099999999998</v>
      </c>
      <c r="Y10">
        <v>97.428830000000005</v>
      </c>
    </row>
    <row r="11" spans="1:25" ht="17.5" customHeight="1">
      <c r="A11" s="48" t="s">
        <v>28</v>
      </c>
      <c r="B11" s="48" t="s">
        <v>104</v>
      </c>
      <c r="C11" s="48">
        <f t="shared" si="0"/>
        <v>97.428830000000005</v>
      </c>
      <c r="D11" s="50">
        <v>0</v>
      </c>
      <c r="E11" s="50">
        <f>SUM(C11:D11)</f>
        <v>97.428830000000005</v>
      </c>
      <c r="L11" s="45" t="s">
        <v>64</v>
      </c>
      <c r="M11" s="45" t="s">
        <v>106</v>
      </c>
      <c r="N11" s="45">
        <v>6.7043399999999904</v>
      </c>
      <c r="O11" s="45">
        <v>35.140270000000001</v>
      </c>
      <c r="P11" s="45">
        <v>4.3419999999999996</v>
      </c>
      <c r="Q11" s="45">
        <v>46.186609999999902</v>
      </c>
      <c r="T11" t="s">
        <v>13</v>
      </c>
      <c r="U11" t="s">
        <v>107</v>
      </c>
      <c r="V11">
        <v>15.00188</v>
      </c>
      <c r="W11">
        <v>66.84881</v>
      </c>
      <c r="X11">
        <v>15.51262</v>
      </c>
      <c r="Y11">
        <v>97.363309999999998</v>
      </c>
    </row>
    <row r="12" spans="1:25" ht="17.5" customHeight="1">
      <c r="A12" s="48" t="s">
        <v>29</v>
      </c>
      <c r="B12" s="48" t="s">
        <v>108</v>
      </c>
      <c r="C12" s="48">
        <f t="shared" si="0"/>
        <v>86.114549999999994</v>
      </c>
      <c r="D12" s="50">
        <v>0</v>
      </c>
      <c r="E12" s="50">
        <f>SUM(C12:D12)</f>
        <v>86.114549999999994</v>
      </c>
      <c r="L12" s="45" t="s">
        <v>34</v>
      </c>
      <c r="M12" s="45" t="s">
        <v>106</v>
      </c>
      <c r="N12" s="45">
        <v>6.7043399999999904</v>
      </c>
      <c r="O12" s="45">
        <v>31.143669999999901</v>
      </c>
      <c r="P12" s="45">
        <v>7.8208499999999903</v>
      </c>
      <c r="Q12" s="45">
        <v>45.668859999999903</v>
      </c>
      <c r="T12" t="s">
        <v>37</v>
      </c>
      <c r="U12" t="s">
        <v>108</v>
      </c>
      <c r="V12">
        <v>15.694949999999899</v>
      </c>
      <c r="W12">
        <v>79.629629999999906</v>
      </c>
      <c r="X12">
        <v>0</v>
      </c>
      <c r="Y12">
        <v>95.324579999999898</v>
      </c>
    </row>
    <row r="13" spans="1:25" ht="17.5" customHeight="1">
      <c r="A13" s="48" t="s">
        <v>57</v>
      </c>
      <c r="B13" s="48" t="s">
        <v>106</v>
      </c>
      <c r="C13" s="48">
        <f t="shared" si="0"/>
        <v>98.468810000000005</v>
      </c>
      <c r="D13" s="50">
        <v>0</v>
      </c>
      <c r="E13" s="50">
        <f>SUM(C13:D13)</f>
        <v>98.468810000000005</v>
      </c>
      <c r="L13" s="45" t="s">
        <v>17</v>
      </c>
      <c r="M13" s="45" t="s">
        <v>104</v>
      </c>
      <c r="N13" s="45">
        <v>7.6763199999999898</v>
      </c>
      <c r="O13" s="45">
        <v>30.574000000000002</v>
      </c>
      <c r="P13" s="45">
        <v>7.1855799999999999</v>
      </c>
      <c r="Q13" s="45">
        <v>45.435899999999997</v>
      </c>
      <c r="T13" t="s">
        <v>64</v>
      </c>
      <c r="U13" t="s">
        <v>106</v>
      </c>
      <c r="V13">
        <v>13.3763399999999</v>
      </c>
      <c r="W13">
        <v>67.804929999999999</v>
      </c>
      <c r="X13">
        <v>13.02557</v>
      </c>
      <c r="Y13">
        <v>94.20684</v>
      </c>
    </row>
    <row r="14" spans="1:25" ht="17.5" customHeight="1">
      <c r="A14" s="48" t="s">
        <v>26</v>
      </c>
      <c r="B14" s="48" t="s">
        <v>105</v>
      </c>
      <c r="C14" s="48">
        <f t="shared" si="0"/>
        <v>91.966809999999995</v>
      </c>
      <c r="D14" s="50">
        <v>0</v>
      </c>
      <c r="E14" s="50">
        <f>SUM(C14:D14)</f>
        <v>91.966809999999995</v>
      </c>
      <c r="L14" s="45" t="s">
        <v>28</v>
      </c>
      <c r="M14" s="45" t="s">
        <v>104</v>
      </c>
      <c r="N14" s="45">
        <v>7.3732899999999901</v>
      </c>
      <c r="O14" s="45">
        <v>35.30171</v>
      </c>
      <c r="P14" s="45">
        <v>2.6391</v>
      </c>
      <c r="Q14" s="45">
        <v>45.314100000000003</v>
      </c>
      <c r="T14" t="s">
        <v>26</v>
      </c>
      <c r="U14" t="s">
        <v>105</v>
      </c>
      <c r="V14">
        <v>14.64789</v>
      </c>
      <c r="W14">
        <v>66.162840000000003</v>
      </c>
      <c r="X14">
        <v>11.156079999999999</v>
      </c>
      <c r="Y14">
        <v>91.966809999999995</v>
      </c>
    </row>
    <row r="15" spans="1:25" ht="17.5" customHeight="1">
      <c r="A15" s="48" t="s">
        <v>43</v>
      </c>
      <c r="B15" s="48" t="s">
        <v>104</v>
      </c>
      <c r="C15" s="48">
        <f t="shared" si="0"/>
        <v>81.675470000000004</v>
      </c>
      <c r="D15" s="50">
        <v>0</v>
      </c>
      <c r="E15" s="50">
        <f>SUM(C15:D15)</f>
        <v>81.675470000000004</v>
      </c>
      <c r="L15" s="45" t="s">
        <v>18</v>
      </c>
      <c r="M15" s="45" t="s">
        <v>104</v>
      </c>
      <c r="N15" s="45">
        <v>7.6763199999999898</v>
      </c>
      <c r="O15" s="45">
        <v>32.76641</v>
      </c>
      <c r="P15" s="45">
        <v>3.2773699999999999</v>
      </c>
      <c r="Q15" s="45">
        <v>43.720099999999903</v>
      </c>
      <c r="T15" t="s">
        <v>42</v>
      </c>
      <c r="U15" t="s">
        <v>107</v>
      </c>
      <c r="V15">
        <v>15.005379999999899</v>
      </c>
      <c r="W15">
        <v>67.208340000000007</v>
      </c>
      <c r="X15">
        <v>7.2765700000000004</v>
      </c>
      <c r="Y15">
        <v>89.490290000000002</v>
      </c>
    </row>
    <row r="16" spans="1:25" ht="17.5" customHeight="1">
      <c r="A16" s="48" t="s">
        <v>64</v>
      </c>
      <c r="B16" s="48" t="s">
        <v>106</v>
      </c>
      <c r="C16" s="48">
        <f t="shared" si="0"/>
        <v>94.20684</v>
      </c>
      <c r="D16" s="50">
        <v>0</v>
      </c>
      <c r="E16" s="50">
        <f>SUM(C16:D16)</f>
        <v>94.20684</v>
      </c>
      <c r="L16" s="45" t="s">
        <v>37</v>
      </c>
      <c r="M16" s="45" t="s">
        <v>108</v>
      </c>
      <c r="N16" s="45">
        <v>7.3495499999999998</v>
      </c>
      <c r="O16" s="45">
        <v>35.890929999999997</v>
      </c>
      <c r="P16" s="45">
        <v>0</v>
      </c>
      <c r="Q16" s="45">
        <v>43.240479999999899</v>
      </c>
      <c r="T16" t="s">
        <v>29</v>
      </c>
      <c r="U16" t="s">
        <v>108</v>
      </c>
      <c r="V16">
        <v>15.694949999999899</v>
      </c>
      <c r="W16">
        <v>66.598329999999905</v>
      </c>
      <c r="X16">
        <v>3.8212700000000002</v>
      </c>
      <c r="Y16">
        <v>86.114549999999994</v>
      </c>
    </row>
    <row r="17" spans="1:25" ht="17.5" customHeight="1">
      <c r="A17" s="48" t="s">
        <v>40</v>
      </c>
      <c r="B17" s="48" t="s">
        <v>104</v>
      </c>
      <c r="C17" s="48">
        <f t="shared" si="0"/>
        <v>75.864450000000005</v>
      </c>
      <c r="D17" s="50">
        <v>0</v>
      </c>
      <c r="E17" s="50">
        <f>SUM(C17:D17)</f>
        <v>75.864450000000005</v>
      </c>
      <c r="L17" s="45" t="s">
        <v>26</v>
      </c>
      <c r="M17" s="45" t="s">
        <v>105</v>
      </c>
      <c r="N17" s="45">
        <v>6.0234099999999904</v>
      </c>
      <c r="O17" s="45">
        <v>30.692059999999898</v>
      </c>
      <c r="P17" s="45">
        <v>6.3765700000000001</v>
      </c>
      <c r="Q17" s="45">
        <v>43.092039999999997</v>
      </c>
      <c r="T17" t="s">
        <v>34</v>
      </c>
      <c r="U17" t="s">
        <v>106</v>
      </c>
      <c r="V17">
        <v>13.3763399999999</v>
      </c>
      <c r="W17">
        <v>59.183719999999902</v>
      </c>
      <c r="X17">
        <v>13.290319999999999</v>
      </c>
      <c r="Y17">
        <v>85.850380000000001</v>
      </c>
    </row>
    <row r="18" spans="1:25" ht="17.5" customHeight="1">
      <c r="A18" s="48" t="s">
        <v>18</v>
      </c>
      <c r="B18" s="48" t="s">
        <v>104</v>
      </c>
      <c r="C18" s="48">
        <f t="shared" si="0"/>
        <v>85.197379999999995</v>
      </c>
      <c r="D18" s="50">
        <v>0</v>
      </c>
      <c r="E18" s="50">
        <f>SUM(C18:D18)</f>
        <v>85.197379999999995</v>
      </c>
      <c r="L18" s="45" t="s">
        <v>32</v>
      </c>
      <c r="M18" s="45" t="s">
        <v>104</v>
      </c>
      <c r="N18" s="45">
        <v>7.6763199999999898</v>
      </c>
      <c r="O18" s="45">
        <v>34.90513</v>
      </c>
      <c r="P18" s="45">
        <v>0</v>
      </c>
      <c r="Q18" s="45">
        <v>42.581449999999997</v>
      </c>
      <c r="T18" t="s">
        <v>59</v>
      </c>
      <c r="U18" t="s">
        <v>105</v>
      </c>
      <c r="V18">
        <v>13.650449999999999</v>
      </c>
      <c r="W18">
        <v>66.564520000000002</v>
      </c>
      <c r="X18">
        <v>5.0714800000000002</v>
      </c>
      <c r="Y18">
        <v>85.286450000000002</v>
      </c>
    </row>
    <row r="19" spans="1:25" ht="17.5" customHeight="1">
      <c r="A19" s="48" t="s">
        <v>44</v>
      </c>
      <c r="B19" s="48" t="s">
        <v>105</v>
      </c>
      <c r="C19" s="48">
        <f t="shared" si="0"/>
        <v>75.747709999999998</v>
      </c>
      <c r="D19" s="50">
        <v>0</v>
      </c>
      <c r="E19" s="50">
        <f>SUM(C19:D19)</f>
        <v>75.747709999999998</v>
      </c>
      <c r="L19" s="45" t="s">
        <v>69</v>
      </c>
      <c r="M19" s="45" t="s">
        <v>103</v>
      </c>
      <c r="N19" s="45">
        <v>5.3918600000000003</v>
      </c>
      <c r="O19" s="45">
        <v>27.538540000000001</v>
      </c>
      <c r="P19" s="45">
        <v>9.5602899999999895</v>
      </c>
      <c r="Q19" s="45">
        <v>42.490690000000001</v>
      </c>
      <c r="T19" t="s">
        <v>18</v>
      </c>
      <c r="U19" t="s">
        <v>104</v>
      </c>
      <c r="V19">
        <v>16.35914</v>
      </c>
      <c r="W19">
        <v>63.564880000000002</v>
      </c>
      <c r="X19">
        <v>5.2733600000000003</v>
      </c>
      <c r="Y19">
        <v>85.197379999999995</v>
      </c>
    </row>
    <row r="20" spans="1:25" ht="17.5" customHeight="1">
      <c r="A20" s="48" t="s">
        <v>76</v>
      </c>
      <c r="B20" s="48" t="s">
        <v>103</v>
      </c>
      <c r="C20" s="48">
        <f t="shared" si="0"/>
        <v>16.362970000000001</v>
      </c>
      <c r="D20" s="50">
        <v>65.040000000000006</v>
      </c>
      <c r="E20" s="50">
        <f>SUM(C20:D20)</f>
        <v>81.40297000000001</v>
      </c>
      <c r="L20" s="45" t="s">
        <v>77</v>
      </c>
      <c r="M20" s="45" t="s">
        <v>103</v>
      </c>
      <c r="N20" s="45">
        <v>5.3918600000000003</v>
      </c>
      <c r="O20" s="45">
        <v>28.743089999999999</v>
      </c>
      <c r="P20" s="45">
        <v>8.1601400000000002</v>
      </c>
      <c r="Q20" s="45">
        <v>42.295089999999902</v>
      </c>
      <c r="T20" t="s">
        <v>32</v>
      </c>
      <c r="U20" t="s">
        <v>104</v>
      </c>
      <c r="V20">
        <v>16.35914</v>
      </c>
      <c r="W20">
        <v>68.556719999999999</v>
      </c>
      <c r="X20">
        <v>0</v>
      </c>
      <c r="Y20">
        <v>84.915859999999995</v>
      </c>
    </row>
    <row r="21" spans="1:25" ht="17.5" customHeight="1">
      <c r="A21" s="48" t="s">
        <v>47</v>
      </c>
      <c r="B21" s="48" t="s">
        <v>108</v>
      </c>
      <c r="C21" s="48">
        <f t="shared" si="0"/>
        <v>82.402979999999999</v>
      </c>
      <c r="D21" s="50">
        <v>0</v>
      </c>
      <c r="E21" s="50">
        <f>SUM(C21:D21)</f>
        <v>82.402979999999999</v>
      </c>
      <c r="L21" s="45" t="s">
        <v>39</v>
      </c>
      <c r="M21" s="45" t="s">
        <v>108</v>
      </c>
      <c r="N21" s="45">
        <v>7.3298300000000003</v>
      </c>
      <c r="O21" s="45">
        <v>30.356719999999999</v>
      </c>
      <c r="P21" s="45">
        <v>3.6052200000000001</v>
      </c>
      <c r="Q21" s="45">
        <v>41.29177</v>
      </c>
      <c r="T21" t="s">
        <v>47</v>
      </c>
      <c r="U21" t="s">
        <v>108</v>
      </c>
      <c r="V21">
        <v>15.694949999999899</v>
      </c>
      <c r="W21">
        <v>52.560299999999998</v>
      </c>
      <c r="X21">
        <v>14.147729999999999</v>
      </c>
      <c r="Y21">
        <v>82.402979999999999</v>
      </c>
    </row>
    <row r="22" spans="1:25" ht="17.5" customHeight="1">
      <c r="A22" s="48" t="s">
        <v>39</v>
      </c>
      <c r="B22" s="48" t="s">
        <v>108</v>
      </c>
      <c r="C22" s="48">
        <f t="shared" si="0"/>
        <v>82.24933</v>
      </c>
      <c r="D22" s="50">
        <v>0</v>
      </c>
      <c r="E22" s="50">
        <f>SUM(C22:D22)</f>
        <v>82.24933</v>
      </c>
      <c r="L22" s="45" t="s">
        <v>24</v>
      </c>
      <c r="M22" s="45" t="s">
        <v>104</v>
      </c>
      <c r="N22" s="45">
        <v>7.6763199999999898</v>
      </c>
      <c r="O22" s="45">
        <v>27.76238</v>
      </c>
      <c r="P22" s="45">
        <v>4.1242700000000001</v>
      </c>
      <c r="Q22" s="45">
        <v>39.56297</v>
      </c>
      <c r="T22" t="s">
        <v>39</v>
      </c>
      <c r="U22" t="s">
        <v>108</v>
      </c>
      <c r="V22">
        <v>15.637479999999901</v>
      </c>
      <c r="W22">
        <v>60.184910000000002</v>
      </c>
      <c r="X22">
        <v>6.4269400000000001</v>
      </c>
      <c r="Y22">
        <v>82.24933</v>
      </c>
    </row>
    <row r="23" spans="1:25" ht="17.5" customHeight="1">
      <c r="A23" s="48" t="s">
        <v>34</v>
      </c>
      <c r="B23" s="48" t="s">
        <v>106</v>
      </c>
      <c r="C23" s="48">
        <f t="shared" si="0"/>
        <v>85.850380000000001</v>
      </c>
      <c r="D23" s="50">
        <v>0</v>
      </c>
      <c r="E23" s="50">
        <f>SUM(C23:D23)</f>
        <v>85.850380000000001</v>
      </c>
      <c r="L23" s="45" t="s">
        <v>47</v>
      </c>
      <c r="M23" s="45" t="s">
        <v>108</v>
      </c>
      <c r="N23" s="45">
        <v>7.3495499999999998</v>
      </c>
      <c r="O23" s="45">
        <v>23.762169999999902</v>
      </c>
      <c r="P23" s="45">
        <v>7.7861899999999897</v>
      </c>
      <c r="Q23" s="45">
        <v>38.897909999999897</v>
      </c>
      <c r="T23" t="s">
        <v>43</v>
      </c>
      <c r="U23" t="s">
        <v>104</v>
      </c>
      <c r="V23">
        <v>16.35914</v>
      </c>
      <c r="W23">
        <v>65.316329999999994</v>
      </c>
      <c r="X23">
        <v>0</v>
      </c>
      <c r="Y23">
        <v>81.675470000000004</v>
      </c>
    </row>
    <row r="24" spans="1:25" ht="17.5" customHeight="1">
      <c r="A24" s="48" t="s">
        <v>79</v>
      </c>
      <c r="B24" s="48" t="s">
        <v>106</v>
      </c>
      <c r="C24" s="48">
        <f t="shared" si="0"/>
        <v>76.106840000000005</v>
      </c>
      <c r="D24" s="50">
        <v>0</v>
      </c>
      <c r="E24" s="50">
        <f>SUM(C24:D24)</f>
        <v>76.106840000000005</v>
      </c>
      <c r="L24" s="45" t="s">
        <v>43</v>
      </c>
      <c r="M24" s="45" t="s">
        <v>104</v>
      </c>
      <c r="N24" s="45">
        <v>7.6763199999999898</v>
      </c>
      <c r="O24" s="45">
        <v>30.937950000000001</v>
      </c>
      <c r="P24" s="45">
        <v>0</v>
      </c>
      <c r="Q24" s="45">
        <v>38.614269999999998</v>
      </c>
      <c r="T24" t="s">
        <v>45</v>
      </c>
      <c r="U24" t="s">
        <v>104</v>
      </c>
      <c r="V24">
        <v>16.276859999999999</v>
      </c>
      <c r="W24">
        <v>57.060809999999996</v>
      </c>
      <c r="X24">
        <v>8.0041200000000003</v>
      </c>
      <c r="Y24">
        <v>81.341790000000003</v>
      </c>
    </row>
    <row r="25" spans="1:25" ht="17.5" customHeight="1">
      <c r="A25" s="48" t="s">
        <v>60</v>
      </c>
      <c r="B25" s="48" t="s">
        <v>108</v>
      </c>
      <c r="C25" s="48">
        <f t="shared" si="0"/>
        <v>105.36082</v>
      </c>
      <c r="D25" s="50">
        <v>0</v>
      </c>
      <c r="E25" s="50">
        <f>SUM(C25:D25)</f>
        <v>105.36082</v>
      </c>
      <c r="L25" s="45" t="s">
        <v>56</v>
      </c>
      <c r="M25" s="45" t="s">
        <v>106</v>
      </c>
      <c r="N25" s="45">
        <v>6.7043399999999904</v>
      </c>
      <c r="O25" s="45">
        <v>26.374220000000001</v>
      </c>
      <c r="P25" s="45">
        <v>5.0460500000000001</v>
      </c>
      <c r="Q25" s="45">
        <v>38.124609999999997</v>
      </c>
      <c r="T25" t="s">
        <v>79</v>
      </c>
      <c r="U25" t="s">
        <v>106</v>
      </c>
      <c r="V25">
        <v>13.3763399999999</v>
      </c>
      <c r="W25">
        <v>62.730499999999999</v>
      </c>
      <c r="X25">
        <v>0</v>
      </c>
      <c r="Y25">
        <v>76.106840000000005</v>
      </c>
    </row>
    <row r="26" spans="1:25" ht="17.5" customHeight="1">
      <c r="A26" s="48" t="s">
        <v>69</v>
      </c>
      <c r="B26" s="48" t="s">
        <v>103</v>
      </c>
      <c r="C26" s="48">
        <f t="shared" si="0"/>
        <v>70.788329999999902</v>
      </c>
      <c r="D26" s="50">
        <v>0</v>
      </c>
      <c r="E26" s="50">
        <f>SUM(C26:D26)</f>
        <v>70.788329999999902</v>
      </c>
      <c r="L26" s="45" t="s">
        <v>55</v>
      </c>
      <c r="M26" s="45" t="s">
        <v>106</v>
      </c>
      <c r="N26" s="45">
        <v>6.7043399999999904</v>
      </c>
      <c r="O26" s="45">
        <v>27.131399999999999</v>
      </c>
      <c r="P26" s="45">
        <v>4.0608199999999997</v>
      </c>
      <c r="Q26" s="45">
        <v>37.896559999999901</v>
      </c>
      <c r="T26" t="s">
        <v>40</v>
      </c>
      <c r="U26" t="s">
        <v>104</v>
      </c>
      <c r="V26">
        <v>16.35914</v>
      </c>
      <c r="W26">
        <v>51.253779999999999</v>
      </c>
      <c r="X26">
        <v>8.2515300000000007</v>
      </c>
      <c r="Y26">
        <v>75.864450000000005</v>
      </c>
    </row>
    <row r="27" spans="1:25" ht="17.5" customHeight="1">
      <c r="A27" s="48" t="s">
        <v>75</v>
      </c>
      <c r="B27" s="48" t="s">
        <v>105</v>
      </c>
      <c r="C27" s="48">
        <f t="shared" si="0"/>
        <v>23.259679999999999</v>
      </c>
      <c r="D27" s="50">
        <v>0</v>
      </c>
      <c r="E27" s="50">
        <f>SUM(C27:D27)</f>
        <v>23.259679999999999</v>
      </c>
      <c r="L27" s="45" t="s">
        <v>40</v>
      </c>
      <c r="M27" s="45" t="s">
        <v>104</v>
      </c>
      <c r="N27" s="45">
        <v>7.6763199999999898</v>
      </c>
      <c r="O27" s="45">
        <v>25.416499999999999</v>
      </c>
      <c r="P27" s="45">
        <v>4.7667000000000002</v>
      </c>
      <c r="Q27" s="45">
        <v>37.859519999999897</v>
      </c>
      <c r="T27" t="s">
        <v>44</v>
      </c>
      <c r="U27" t="s">
        <v>105</v>
      </c>
      <c r="V27">
        <v>14.64789</v>
      </c>
      <c r="W27">
        <v>55.195590000000003</v>
      </c>
      <c r="X27">
        <v>5.9042300000000001</v>
      </c>
      <c r="Y27">
        <v>75.747709999999998</v>
      </c>
    </row>
    <row r="28" spans="1:25" ht="17.5" customHeight="1">
      <c r="A28" s="48" t="s">
        <v>42</v>
      </c>
      <c r="B28" s="48" t="s">
        <v>107</v>
      </c>
      <c r="C28" s="48">
        <f t="shared" si="0"/>
        <v>89.490290000000002</v>
      </c>
      <c r="D28" s="50">
        <v>0</v>
      </c>
      <c r="E28" s="50">
        <f>SUM(C28:D28)</f>
        <v>89.490290000000002</v>
      </c>
      <c r="L28" s="45" t="s">
        <v>46</v>
      </c>
      <c r="M28" s="45" t="s">
        <v>104</v>
      </c>
      <c r="N28" s="45">
        <v>7.6763199999999898</v>
      </c>
      <c r="O28" s="45">
        <v>29.565580000000001</v>
      </c>
      <c r="P28" s="45">
        <v>0</v>
      </c>
      <c r="Q28" s="45">
        <v>37.241900000000001</v>
      </c>
      <c r="T28" t="s">
        <v>56</v>
      </c>
      <c r="U28" t="s">
        <v>106</v>
      </c>
      <c r="V28">
        <v>13.3763399999999</v>
      </c>
      <c r="W28">
        <v>52.635620000000003</v>
      </c>
      <c r="X28">
        <v>9.3826800000000006</v>
      </c>
      <c r="Y28">
        <v>75.394639999999995</v>
      </c>
    </row>
    <row r="29" spans="1:25" ht="17.5" customHeight="1">
      <c r="A29" s="48" t="s">
        <v>46</v>
      </c>
      <c r="B29" s="48" t="s">
        <v>104</v>
      </c>
      <c r="C29" s="48">
        <f t="shared" si="0"/>
        <v>74.249179999999896</v>
      </c>
      <c r="D29" s="50">
        <v>0</v>
      </c>
      <c r="E29" s="50">
        <f>SUM(C29:D29)</f>
        <v>74.249179999999896</v>
      </c>
      <c r="L29" s="45" t="s">
        <v>49</v>
      </c>
      <c r="M29" s="45" t="s">
        <v>107</v>
      </c>
      <c r="N29" s="45">
        <v>7.9883600000000001</v>
      </c>
      <c r="O29" s="45">
        <v>26.707789999999999</v>
      </c>
      <c r="P29" s="45">
        <v>2.4445600000000001</v>
      </c>
      <c r="Q29" s="45">
        <v>37.140709999999999</v>
      </c>
      <c r="T29" t="s">
        <v>77</v>
      </c>
      <c r="U29" t="s">
        <v>103</v>
      </c>
      <c r="V29">
        <v>9.0957299999999996</v>
      </c>
      <c r="W29">
        <v>51.830350000000003</v>
      </c>
      <c r="X29">
        <v>14.23067</v>
      </c>
      <c r="Y29">
        <v>75.156749999999903</v>
      </c>
    </row>
    <row r="30" spans="1:25" ht="17.5" customHeight="1">
      <c r="A30" s="48" t="s">
        <v>59</v>
      </c>
      <c r="B30" s="48" t="s">
        <v>105</v>
      </c>
      <c r="C30" s="48">
        <f t="shared" si="0"/>
        <v>85.286450000000002</v>
      </c>
      <c r="D30" s="50">
        <v>0</v>
      </c>
      <c r="E30" s="50">
        <f>SUM(C30:D30)</f>
        <v>85.286450000000002</v>
      </c>
      <c r="L30" s="45" t="s">
        <v>29</v>
      </c>
      <c r="M30" s="45" t="s">
        <v>108</v>
      </c>
      <c r="N30" s="45">
        <v>7.3495499999999998</v>
      </c>
      <c r="O30" s="45">
        <v>28.619609999999899</v>
      </c>
      <c r="P30" s="45">
        <v>1.15686</v>
      </c>
      <c r="Q30" s="45">
        <v>37.126019999999997</v>
      </c>
      <c r="T30" t="s">
        <v>24</v>
      </c>
      <c r="U30" t="s">
        <v>104</v>
      </c>
      <c r="V30">
        <v>16.346489999999999</v>
      </c>
      <c r="W30">
        <v>50.729399999999998</v>
      </c>
      <c r="X30">
        <v>7.6424899999999996</v>
      </c>
      <c r="Y30">
        <v>74.718379999999996</v>
      </c>
    </row>
    <row r="31" spans="1:25" ht="17.5" customHeight="1">
      <c r="A31" s="48" t="s">
        <v>27</v>
      </c>
      <c r="B31" s="48" t="s">
        <v>104</v>
      </c>
      <c r="C31" s="48">
        <f t="shared" si="0"/>
        <v>0</v>
      </c>
      <c r="D31" s="50">
        <v>0</v>
      </c>
      <c r="E31" s="50">
        <f>SUM(C31:D31)</f>
        <v>0</v>
      </c>
      <c r="L31" s="45" t="s">
        <v>45</v>
      </c>
      <c r="M31" s="45" t="s">
        <v>104</v>
      </c>
      <c r="N31" s="45">
        <v>7.6015199999999901</v>
      </c>
      <c r="O31" s="45">
        <v>26.63711</v>
      </c>
      <c r="P31" s="45">
        <v>2.1516199999999999</v>
      </c>
      <c r="Q31" s="45">
        <v>36.390249999999902</v>
      </c>
      <c r="T31" t="s">
        <v>46</v>
      </c>
      <c r="U31" t="s">
        <v>104</v>
      </c>
      <c r="V31">
        <v>16.35914</v>
      </c>
      <c r="W31">
        <v>57.430059999999997</v>
      </c>
      <c r="X31">
        <v>0.45998</v>
      </c>
      <c r="Y31">
        <v>74.249179999999896</v>
      </c>
    </row>
    <row r="32" spans="1:25" ht="17.5" customHeight="1">
      <c r="A32" s="48" t="s">
        <v>24</v>
      </c>
      <c r="B32" s="48" t="s">
        <v>104</v>
      </c>
      <c r="C32" s="48">
        <f t="shared" si="0"/>
        <v>74.718379999999996</v>
      </c>
      <c r="D32" s="50">
        <v>0</v>
      </c>
      <c r="E32" s="50">
        <f>SUM(C32:D32)</f>
        <v>74.718379999999996</v>
      </c>
      <c r="L32" s="45" t="s">
        <v>79</v>
      </c>
      <c r="M32" s="45" t="s">
        <v>106</v>
      </c>
      <c r="N32" s="45">
        <v>6.7043399999999904</v>
      </c>
      <c r="O32" s="45">
        <v>29.018439999999998</v>
      </c>
      <c r="P32" s="45">
        <v>0</v>
      </c>
      <c r="Q32" s="45">
        <v>35.72278</v>
      </c>
      <c r="T32" t="s">
        <v>62</v>
      </c>
      <c r="U32" t="s">
        <v>105</v>
      </c>
      <c r="V32">
        <v>14.64789</v>
      </c>
      <c r="W32">
        <v>56.395919999999997</v>
      </c>
      <c r="X32">
        <v>1.86266</v>
      </c>
      <c r="Y32">
        <v>72.906469999999999</v>
      </c>
    </row>
    <row r="33" spans="1:25" ht="17.5" customHeight="1">
      <c r="A33" s="48" t="s">
        <v>49</v>
      </c>
      <c r="B33" s="48" t="s">
        <v>107</v>
      </c>
      <c r="C33" s="48">
        <f t="shared" si="0"/>
        <v>62.55509</v>
      </c>
      <c r="D33" s="50">
        <v>0</v>
      </c>
      <c r="E33" s="50">
        <f>SUM(C33:D33)</f>
        <v>62.55509</v>
      </c>
      <c r="L33" s="45" t="s">
        <v>78</v>
      </c>
      <c r="M33" s="45" t="s">
        <v>103</v>
      </c>
      <c r="N33" s="45">
        <v>5.3918600000000003</v>
      </c>
      <c r="O33" s="45">
        <v>27.29308</v>
      </c>
      <c r="P33" s="45">
        <v>2.9018799999999998</v>
      </c>
      <c r="Q33" s="45">
        <v>35.586819999999904</v>
      </c>
      <c r="T33" t="s">
        <v>69</v>
      </c>
      <c r="U33" t="s">
        <v>103</v>
      </c>
      <c r="V33">
        <v>9.0957299999999996</v>
      </c>
      <c r="W33">
        <v>48.574680000000001</v>
      </c>
      <c r="X33">
        <v>13.1179199999999</v>
      </c>
      <c r="Y33">
        <v>70.788329999999902</v>
      </c>
    </row>
    <row r="34" spans="1:25" ht="17.5" customHeight="1">
      <c r="A34" s="48" t="s">
        <v>71</v>
      </c>
      <c r="B34" s="48" t="s">
        <v>103</v>
      </c>
      <c r="C34" s="48">
        <f t="shared" si="0"/>
        <v>55.830010000000001</v>
      </c>
      <c r="D34" s="50">
        <v>0</v>
      </c>
      <c r="E34" s="50">
        <f t="shared" ref="E34:E55" si="1">SUM(C34:D34)</f>
        <v>55.830010000000001</v>
      </c>
      <c r="L34" s="45" t="s">
        <v>27</v>
      </c>
      <c r="M34" s="45" t="s">
        <v>104</v>
      </c>
      <c r="N34" s="45">
        <v>7.6763199999999898</v>
      </c>
      <c r="O34" s="45">
        <v>27.520379999999999</v>
      </c>
      <c r="P34" s="45">
        <v>0</v>
      </c>
      <c r="Q34" s="45">
        <v>35.1967</v>
      </c>
      <c r="T34" t="s">
        <v>73</v>
      </c>
      <c r="U34" t="s">
        <v>105</v>
      </c>
      <c r="V34">
        <v>14.64789</v>
      </c>
      <c r="W34">
        <v>45.842419999999997</v>
      </c>
      <c r="X34">
        <v>8.5153199999999991</v>
      </c>
      <c r="Y34">
        <v>69.005629999999996</v>
      </c>
    </row>
    <row r="35" spans="1:25" ht="17.5" customHeight="1">
      <c r="A35" s="48" t="s">
        <v>78</v>
      </c>
      <c r="B35" s="48" t="s">
        <v>103</v>
      </c>
      <c r="C35" s="48">
        <f t="shared" si="0"/>
        <v>61.894609999999901</v>
      </c>
      <c r="D35" s="50">
        <v>0</v>
      </c>
      <c r="E35" s="50">
        <f t="shared" si="1"/>
        <v>61.894609999999901</v>
      </c>
      <c r="L35" s="45" t="s">
        <v>61</v>
      </c>
      <c r="M35" s="45" t="s">
        <v>107</v>
      </c>
      <c r="N35" s="45">
        <v>7.9883600000000001</v>
      </c>
      <c r="O35" s="45">
        <v>22.716459999999898</v>
      </c>
      <c r="P35" s="45">
        <v>0</v>
      </c>
      <c r="Q35" s="45">
        <v>30.704820000000002</v>
      </c>
      <c r="T35" t="s">
        <v>70</v>
      </c>
      <c r="U35" t="s">
        <v>106</v>
      </c>
      <c r="V35">
        <v>13.3763399999999</v>
      </c>
      <c r="W35">
        <v>51.204189999999997</v>
      </c>
      <c r="X35">
        <v>1.4116899999999999</v>
      </c>
      <c r="Y35">
        <v>65.992220000000003</v>
      </c>
    </row>
    <row r="36" spans="1:25" ht="17.5" customHeight="1">
      <c r="A36" s="48" t="s">
        <v>77</v>
      </c>
      <c r="B36" s="48" t="s">
        <v>103</v>
      </c>
      <c r="C36" s="48">
        <f t="shared" si="0"/>
        <v>75.156749999999903</v>
      </c>
      <c r="D36" s="50">
        <v>0</v>
      </c>
      <c r="E36" s="50">
        <f t="shared" si="1"/>
        <v>75.156749999999903</v>
      </c>
      <c r="L36" s="45" t="s">
        <v>54</v>
      </c>
      <c r="M36" s="45" t="s">
        <v>108</v>
      </c>
      <c r="N36" s="45">
        <v>7.3495499999999998</v>
      </c>
      <c r="O36" s="45">
        <v>21.97119</v>
      </c>
      <c r="P36" s="45">
        <v>1.2599899999999999</v>
      </c>
      <c r="Q36" s="45">
        <v>30.580729999999999</v>
      </c>
      <c r="T36" t="s">
        <v>74</v>
      </c>
      <c r="U36" t="s">
        <v>105</v>
      </c>
      <c r="V36">
        <v>14.64789</v>
      </c>
      <c r="W36">
        <v>42.690049999999999</v>
      </c>
      <c r="X36">
        <v>7.6344899999999898</v>
      </c>
      <c r="Y36">
        <v>64.972429999999903</v>
      </c>
    </row>
    <row r="37" spans="1:25" ht="17.5" customHeight="1">
      <c r="A37" s="48" t="s">
        <v>45</v>
      </c>
      <c r="B37" s="48" t="s">
        <v>104</v>
      </c>
      <c r="C37" s="48">
        <f t="shared" si="0"/>
        <v>81.341790000000003</v>
      </c>
      <c r="D37" s="50">
        <v>0</v>
      </c>
      <c r="E37" s="50">
        <f t="shared" si="1"/>
        <v>81.341790000000003</v>
      </c>
      <c r="L37" s="45" t="s">
        <v>44</v>
      </c>
      <c r="M37" s="45" t="s">
        <v>105</v>
      </c>
      <c r="N37" s="45">
        <v>6.0234099999999904</v>
      </c>
      <c r="O37" s="45">
        <v>23.02965</v>
      </c>
      <c r="P37" s="45">
        <v>1.13283</v>
      </c>
      <c r="Q37" s="45">
        <v>30.185889999999901</v>
      </c>
      <c r="T37" t="s">
        <v>66</v>
      </c>
      <c r="U37" t="s">
        <v>105</v>
      </c>
      <c r="V37">
        <v>14.64789</v>
      </c>
      <c r="W37">
        <v>46.2006599999999</v>
      </c>
      <c r="X37">
        <v>3.1792099999999999</v>
      </c>
      <c r="Y37">
        <v>64.027760000000001</v>
      </c>
    </row>
    <row r="38" spans="1:25" ht="17.5" customHeight="1">
      <c r="A38" s="48" t="s">
        <v>61</v>
      </c>
      <c r="B38" s="48" t="s">
        <v>107</v>
      </c>
      <c r="C38" s="48">
        <f t="shared" si="0"/>
        <v>52.083219999999997</v>
      </c>
      <c r="D38" s="50">
        <v>0</v>
      </c>
      <c r="E38" s="50">
        <f t="shared" si="1"/>
        <v>52.083219999999997</v>
      </c>
      <c r="L38" s="45" t="s">
        <v>71</v>
      </c>
      <c r="M38" s="45" t="s">
        <v>103</v>
      </c>
      <c r="N38" s="45">
        <v>5.3918600000000003</v>
      </c>
      <c r="O38" s="45">
        <v>20.981020000000001</v>
      </c>
      <c r="P38" s="45">
        <v>3.6009899999999999</v>
      </c>
      <c r="Q38" s="45">
        <v>29.973869999999899</v>
      </c>
      <c r="T38" t="s">
        <v>55</v>
      </c>
      <c r="U38" t="s">
        <v>106</v>
      </c>
      <c r="V38">
        <v>13.3763399999999</v>
      </c>
      <c r="W38">
        <v>42.883719999999997</v>
      </c>
      <c r="X38">
        <v>6.9824200000000003</v>
      </c>
      <c r="Y38">
        <v>63.24248</v>
      </c>
    </row>
    <row r="39" spans="1:25" ht="17.5" customHeight="1">
      <c r="A39" s="48" t="s">
        <v>80</v>
      </c>
      <c r="B39" s="48" t="s">
        <v>103</v>
      </c>
      <c r="C39" s="48">
        <f t="shared" si="0"/>
        <v>51.962419999999902</v>
      </c>
      <c r="D39" s="50">
        <v>0</v>
      </c>
      <c r="E39" s="50">
        <f t="shared" si="1"/>
        <v>51.962419999999902</v>
      </c>
      <c r="L39" s="45" t="s">
        <v>62</v>
      </c>
      <c r="M39" s="45" t="s">
        <v>105</v>
      </c>
      <c r="N39" s="45">
        <v>6.0234099999999904</v>
      </c>
      <c r="O39" s="45">
        <v>23.48883</v>
      </c>
      <c r="P39" s="45">
        <v>0</v>
      </c>
      <c r="Q39" s="45">
        <v>29.512239999999899</v>
      </c>
      <c r="T39" t="s">
        <v>49</v>
      </c>
      <c r="U39" t="s">
        <v>107</v>
      </c>
      <c r="V39">
        <v>15.0924599999999</v>
      </c>
      <c r="W39">
        <v>45.018070000000002</v>
      </c>
      <c r="X39">
        <v>2.4445600000000001</v>
      </c>
      <c r="Y39">
        <v>62.55509</v>
      </c>
    </row>
    <row r="40" spans="1:25" ht="17.5" customHeight="1">
      <c r="A40" s="48" t="s">
        <v>58</v>
      </c>
      <c r="B40" s="48" t="s">
        <v>105</v>
      </c>
      <c r="C40" s="48">
        <f t="shared" si="0"/>
        <v>58.926949999999998</v>
      </c>
      <c r="D40" s="50">
        <v>0</v>
      </c>
      <c r="E40" s="50">
        <f t="shared" si="1"/>
        <v>58.926949999999998</v>
      </c>
      <c r="L40" s="45" t="s">
        <v>59</v>
      </c>
      <c r="M40" s="45" t="s">
        <v>105</v>
      </c>
      <c r="N40" s="45">
        <v>6.0234099999999904</v>
      </c>
      <c r="O40" s="45">
        <v>21.580110000000001</v>
      </c>
      <c r="P40" s="45">
        <v>1.5628599999999999</v>
      </c>
      <c r="Q40" s="45">
        <v>29.166379999999901</v>
      </c>
      <c r="T40" t="s">
        <v>78</v>
      </c>
      <c r="U40" t="s">
        <v>103</v>
      </c>
      <c r="V40">
        <v>9.0957299999999996</v>
      </c>
      <c r="W40">
        <v>45.057450000000003</v>
      </c>
      <c r="X40">
        <v>7.7414300000000003</v>
      </c>
      <c r="Y40">
        <v>61.894609999999901</v>
      </c>
    </row>
    <row r="41" spans="1:25" ht="17.5" customHeight="1">
      <c r="A41" s="48" t="s">
        <v>70</v>
      </c>
      <c r="B41" s="48" t="s">
        <v>106</v>
      </c>
      <c r="C41" s="48">
        <f t="shared" si="0"/>
        <v>65.992220000000003</v>
      </c>
      <c r="D41" s="50">
        <v>0</v>
      </c>
      <c r="E41" s="50">
        <f t="shared" si="1"/>
        <v>65.992220000000003</v>
      </c>
      <c r="L41" s="45" t="s">
        <v>80</v>
      </c>
      <c r="M41" s="45" t="s">
        <v>103</v>
      </c>
      <c r="N41" s="45">
        <v>5.3918600000000003</v>
      </c>
      <c r="O41" s="45">
        <v>23.726320000000001</v>
      </c>
      <c r="P41" s="45">
        <v>0</v>
      </c>
      <c r="Q41" s="45">
        <v>29.118179999999999</v>
      </c>
      <c r="T41" t="s">
        <v>54</v>
      </c>
      <c r="U41" t="s">
        <v>108</v>
      </c>
      <c r="V41">
        <v>15.694949999999899</v>
      </c>
      <c r="W41">
        <v>43.69988</v>
      </c>
      <c r="X41">
        <v>1.61354</v>
      </c>
      <c r="Y41">
        <v>61.0083699999999</v>
      </c>
    </row>
    <row r="42" spans="1:25" ht="17.5" customHeight="1">
      <c r="A42" s="48" t="s">
        <v>68</v>
      </c>
      <c r="B42" s="48" t="s">
        <v>105</v>
      </c>
      <c r="C42" s="48">
        <f t="shared" si="0"/>
        <v>19.620519999999999</v>
      </c>
      <c r="D42" s="50">
        <v>0</v>
      </c>
      <c r="E42" s="50">
        <f t="shared" si="1"/>
        <v>19.620519999999999</v>
      </c>
      <c r="L42" s="45" t="s">
        <v>58</v>
      </c>
      <c r="M42" s="45" t="s">
        <v>105</v>
      </c>
      <c r="N42" s="45">
        <v>6.0234099999999904</v>
      </c>
      <c r="O42" s="45">
        <v>20.08719</v>
      </c>
      <c r="P42" s="45">
        <v>2.7275999999999998</v>
      </c>
      <c r="Q42" s="45">
        <v>28.838199999999901</v>
      </c>
      <c r="T42" t="s">
        <v>58</v>
      </c>
      <c r="U42" t="s">
        <v>105</v>
      </c>
      <c r="V42">
        <v>14.491759999999999</v>
      </c>
      <c r="W42">
        <v>40.391359999999999</v>
      </c>
      <c r="X42">
        <v>4.0438299999999998</v>
      </c>
      <c r="Y42">
        <v>58.926949999999998</v>
      </c>
    </row>
    <row r="43" spans="1:25" ht="17.5" customHeight="1">
      <c r="A43" s="48" t="s">
        <v>66</v>
      </c>
      <c r="B43" s="48" t="s">
        <v>105</v>
      </c>
      <c r="C43" s="48">
        <f t="shared" si="0"/>
        <v>64.027760000000001</v>
      </c>
      <c r="D43" s="50">
        <v>0</v>
      </c>
      <c r="E43" s="50">
        <f t="shared" si="1"/>
        <v>64.027760000000001</v>
      </c>
      <c r="L43" s="45" t="s">
        <v>73</v>
      </c>
      <c r="M43" s="45" t="s">
        <v>105</v>
      </c>
      <c r="N43" s="45">
        <v>6.0234099999999904</v>
      </c>
      <c r="O43" s="45">
        <v>17.614359999999898</v>
      </c>
      <c r="P43" s="45">
        <v>3.5729299999999999</v>
      </c>
      <c r="Q43" s="45">
        <v>27.2106999999999</v>
      </c>
      <c r="T43" t="s">
        <v>71</v>
      </c>
      <c r="U43" t="s">
        <v>103</v>
      </c>
      <c r="V43">
        <v>9.0957299999999996</v>
      </c>
      <c r="W43">
        <v>40.697150000000001</v>
      </c>
      <c r="X43">
        <v>6.0371300000000003</v>
      </c>
      <c r="Y43">
        <v>55.830010000000001</v>
      </c>
    </row>
    <row r="44" spans="1:25" ht="17.5" customHeight="1">
      <c r="A44" s="48" t="s">
        <v>54</v>
      </c>
      <c r="B44" s="48" t="s">
        <v>108</v>
      </c>
      <c r="C44" s="48">
        <f t="shared" si="0"/>
        <v>61.0083699999999</v>
      </c>
      <c r="D44" s="50">
        <v>0</v>
      </c>
      <c r="E44" s="50">
        <f t="shared" si="1"/>
        <v>61.0083699999999</v>
      </c>
      <c r="L44" s="45" t="s">
        <v>66</v>
      </c>
      <c r="M44" s="45" t="s">
        <v>105</v>
      </c>
      <c r="N44" s="45">
        <v>6.0234099999999904</v>
      </c>
      <c r="O44" s="45">
        <v>18.284600000000001</v>
      </c>
      <c r="P44" s="45">
        <v>2.3693300000000002</v>
      </c>
      <c r="Q44" s="45">
        <v>26.677339999999901</v>
      </c>
      <c r="T44" t="s">
        <v>61</v>
      </c>
      <c r="U44" t="s">
        <v>107</v>
      </c>
      <c r="V44">
        <v>15.0924599999999</v>
      </c>
      <c r="W44">
        <v>36.990760000000002</v>
      </c>
      <c r="X44">
        <v>0</v>
      </c>
      <c r="Y44">
        <v>52.083219999999997</v>
      </c>
    </row>
    <row r="45" spans="1:25" ht="17.5" customHeight="1">
      <c r="A45" s="48" t="s">
        <v>73</v>
      </c>
      <c r="B45" s="48" t="s">
        <v>105</v>
      </c>
      <c r="C45" s="48">
        <f t="shared" si="0"/>
        <v>69.005629999999996</v>
      </c>
      <c r="D45" s="50">
        <v>0</v>
      </c>
      <c r="E45" s="50">
        <f t="shared" si="1"/>
        <v>69.005629999999996</v>
      </c>
      <c r="L45" s="45" t="s">
        <v>70</v>
      </c>
      <c r="M45" s="45" t="s">
        <v>106</v>
      </c>
      <c r="N45" s="45">
        <v>6.7043399999999904</v>
      </c>
      <c r="O45" s="45">
        <v>17.390609999999999</v>
      </c>
      <c r="P45" s="45">
        <v>1.0954600000000001</v>
      </c>
      <c r="Q45" s="45">
        <v>25.19041</v>
      </c>
      <c r="T45" t="s">
        <v>80</v>
      </c>
      <c r="U45" t="s">
        <v>103</v>
      </c>
      <c r="V45">
        <v>9.0957299999999996</v>
      </c>
      <c r="W45">
        <v>42.866689999999899</v>
      </c>
      <c r="X45">
        <v>0</v>
      </c>
      <c r="Y45">
        <v>51.962419999999902</v>
      </c>
    </row>
    <row r="46" spans="1:25" ht="17.5" customHeight="1">
      <c r="A46" s="48" t="s">
        <v>37</v>
      </c>
      <c r="B46" s="48" t="s">
        <v>108</v>
      </c>
      <c r="C46" s="48">
        <f t="shared" si="0"/>
        <v>95.324579999999898</v>
      </c>
      <c r="D46" s="50">
        <v>0</v>
      </c>
      <c r="E46" s="50">
        <f t="shared" si="1"/>
        <v>95.324579999999898</v>
      </c>
      <c r="L46" s="45" t="s">
        <v>115</v>
      </c>
      <c r="M46" s="45" t="s">
        <v>50</v>
      </c>
      <c r="N46" s="45">
        <v>1.3508500000000001</v>
      </c>
      <c r="O46" s="45">
        <v>21.65964</v>
      </c>
      <c r="P46" s="45">
        <v>0</v>
      </c>
      <c r="Q46" s="45">
        <v>23.010490000000001</v>
      </c>
      <c r="T46" t="s">
        <v>115</v>
      </c>
      <c r="U46" t="s">
        <v>50</v>
      </c>
      <c r="V46">
        <v>1.5775399999999999</v>
      </c>
      <c r="W46">
        <v>39.932609999999997</v>
      </c>
      <c r="X46">
        <v>0</v>
      </c>
      <c r="Y46">
        <v>41.510149999999904</v>
      </c>
    </row>
    <row r="47" spans="1:25" ht="17.5" customHeight="1">
      <c r="A47" s="48" t="s">
        <v>51</v>
      </c>
      <c r="B47" s="48" t="s">
        <v>105</v>
      </c>
      <c r="C47" s="48">
        <f t="shared" si="0"/>
        <v>0</v>
      </c>
      <c r="D47" s="50">
        <v>0</v>
      </c>
      <c r="E47" s="50">
        <f t="shared" si="1"/>
        <v>0</v>
      </c>
      <c r="L47" s="45" t="s">
        <v>74</v>
      </c>
      <c r="M47" s="45" t="s">
        <v>105</v>
      </c>
      <c r="N47" s="45">
        <v>6.0234099999999904</v>
      </c>
      <c r="O47" s="45">
        <v>12.19501</v>
      </c>
      <c r="P47" s="45">
        <v>2.79061</v>
      </c>
      <c r="Q47" s="45">
        <v>21.0090299999999</v>
      </c>
      <c r="T47" t="s">
        <v>72</v>
      </c>
      <c r="U47" t="s">
        <v>106</v>
      </c>
      <c r="V47">
        <v>13.3763399999999</v>
      </c>
      <c r="W47">
        <v>11.28345</v>
      </c>
      <c r="X47">
        <v>0</v>
      </c>
      <c r="Y47">
        <v>24.659789999999902</v>
      </c>
    </row>
    <row r="48" spans="1:25" ht="17.5" customHeight="1">
      <c r="A48" s="48" t="s">
        <v>74</v>
      </c>
      <c r="B48" s="48" t="s">
        <v>105</v>
      </c>
      <c r="C48" s="48">
        <f t="shared" si="0"/>
        <v>64.972429999999903</v>
      </c>
      <c r="D48" s="50">
        <v>0</v>
      </c>
      <c r="E48" s="50">
        <f t="shared" si="1"/>
        <v>64.972429999999903</v>
      </c>
      <c r="L48" s="45" t="s">
        <v>75</v>
      </c>
      <c r="M48" s="45" t="s">
        <v>50</v>
      </c>
      <c r="N48" s="45">
        <v>1.9524999999999899</v>
      </c>
      <c r="O48" s="45">
        <v>17.527460000000001</v>
      </c>
      <c r="P48" s="45">
        <v>1.22566</v>
      </c>
      <c r="Q48" s="45">
        <v>20.70562</v>
      </c>
      <c r="T48" t="s">
        <v>75</v>
      </c>
      <c r="U48" t="s">
        <v>50</v>
      </c>
      <c r="V48">
        <v>2.73443999999999</v>
      </c>
      <c r="W48">
        <v>19.299579999999999</v>
      </c>
      <c r="X48">
        <v>1.22566</v>
      </c>
      <c r="Y48">
        <v>23.259679999999999</v>
      </c>
    </row>
    <row r="49" spans="1:25" ht="17.5" customHeight="1">
      <c r="A49" s="48" t="s">
        <v>72</v>
      </c>
      <c r="B49" s="48" t="s">
        <v>106</v>
      </c>
      <c r="C49" s="48">
        <f t="shared" si="0"/>
        <v>24.659789999999902</v>
      </c>
      <c r="D49" s="50">
        <v>0</v>
      </c>
      <c r="E49" s="50">
        <f t="shared" si="1"/>
        <v>24.659789999999902</v>
      </c>
      <c r="L49" s="45" t="s">
        <v>68</v>
      </c>
      <c r="M49" s="45" t="s">
        <v>50</v>
      </c>
      <c r="N49" s="45">
        <v>1.9524999999999899</v>
      </c>
      <c r="O49" s="45">
        <v>16.88608</v>
      </c>
      <c r="P49" s="45">
        <v>0</v>
      </c>
      <c r="Q49" s="45">
        <v>18.83858</v>
      </c>
      <c r="T49" t="s">
        <v>67</v>
      </c>
      <c r="U49" t="s">
        <v>50</v>
      </c>
      <c r="V49">
        <v>2.73443999999999</v>
      </c>
      <c r="W49">
        <v>19.909669999999998</v>
      </c>
      <c r="X49">
        <v>0</v>
      </c>
      <c r="Y49">
        <v>22.644110000000001</v>
      </c>
    </row>
    <row r="50" spans="1:25" ht="17.5" customHeight="1">
      <c r="A50" s="48" t="s">
        <v>62</v>
      </c>
      <c r="B50" s="48" t="s">
        <v>105</v>
      </c>
      <c r="C50" s="48">
        <f t="shared" si="0"/>
        <v>72.906469999999999</v>
      </c>
      <c r="D50" s="50">
        <v>0</v>
      </c>
      <c r="E50" s="50">
        <f t="shared" si="1"/>
        <v>72.906469999999999</v>
      </c>
      <c r="L50" s="45" t="s">
        <v>72</v>
      </c>
      <c r="M50" s="45" t="s">
        <v>106</v>
      </c>
      <c r="N50" s="45">
        <v>6.7043399999999904</v>
      </c>
      <c r="O50" s="45">
        <v>11.28345</v>
      </c>
      <c r="P50" s="45">
        <v>0</v>
      </c>
      <c r="Q50" s="45">
        <v>17.98779</v>
      </c>
      <c r="T50" t="s">
        <v>68</v>
      </c>
      <c r="U50" t="s">
        <v>50</v>
      </c>
      <c r="V50">
        <v>2.73443999999999</v>
      </c>
      <c r="W50">
        <v>16.88608</v>
      </c>
      <c r="X50">
        <v>0</v>
      </c>
      <c r="Y50">
        <v>19.620519999999999</v>
      </c>
    </row>
    <row r="51" spans="1:25" ht="17.5" customHeight="1">
      <c r="A51" s="48" t="s">
        <v>67</v>
      </c>
      <c r="B51" s="48" t="s">
        <v>50</v>
      </c>
      <c r="C51" s="48">
        <f t="shared" si="0"/>
        <v>22.644110000000001</v>
      </c>
      <c r="D51" s="50">
        <v>0</v>
      </c>
      <c r="E51" s="50">
        <f t="shared" si="1"/>
        <v>22.644110000000001</v>
      </c>
      <c r="L51" s="45" t="s">
        <v>67</v>
      </c>
      <c r="M51" s="45" t="s">
        <v>50</v>
      </c>
      <c r="N51" s="45">
        <v>1.9524999999999899</v>
      </c>
      <c r="O51" s="45">
        <v>14.21721</v>
      </c>
      <c r="P51" s="45">
        <v>0</v>
      </c>
      <c r="Q51" s="45">
        <v>16.169709999999998</v>
      </c>
      <c r="T51" t="s">
        <v>76</v>
      </c>
      <c r="U51" t="s">
        <v>103</v>
      </c>
      <c r="V51">
        <v>9.0957299999999996</v>
      </c>
      <c r="W51">
        <v>7.2672399999999904</v>
      </c>
      <c r="X51">
        <v>0</v>
      </c>
      <c r="Y51">
        <v>16.362970000000001</v>
      </c>
    </row>
    <row r="52" spans="1:25" ht="18.75" customHeight="1">
      <c r="A52" s="49" t="s">
        <v>31</v>
      </c>
      <c r="B52" s="48" t="s">
        <v>50</v>
      </c>
      <c r="C52" s="48">
        <f t="shared" si="0"/>
        <v>5.0797299999999899</v>
      </c>
      <c r="D52" s="50">
        <v>0</v>
      </c>
      <c r="E52" s="50">
        <f t="shared" si="1"/>
        <v>5.0797299999999899</v>
      </c>
      <c r="L52" s="45" t="s">
        <v>76</v>
      </c>
      <c r="M52" s="45" t="s">
        <v>103</v>
      </c>
      <c r="N52" s="45">
        <v>5.3918600000000003</v>
      </c>
      <c r="O52" s="45">
        <v>7.2672399999999904</v>
      </c>
      <c r="P52" s="45">
        <v>0</v>
      </c>
      <c r="Q52" s="45">
        <v>12.6591</v>
      </c>
      <c r="T52" t="s">
        <v>65</v>
      </c>
      <c r="U52" t="s">
        <v>103</v>
      </c>
      <c r="V52">
        <v>9.0957299999999996</v>
      </c>
      <c r="W52">
        <v>5.9583000000000004</v>
      </c>
      <c r="X52">
        <v>0</v>
      </c>
      <c r="Y52">
        <v>15.054029999999999</v>
      </c>
    </row>
    <row r="53" spans="1:25" ht="18.75" customHeight="1">
      <c r="A53" s="49" t="s">
        <v>41</v>
      </c>
      <c r="B53" s="48" t="s">
        <v>50</v>
      </c>
      <c r="C53" s="48">
        <f t="shared" si="0"/>
        <v>2.73443999999999</v>
      </c>
      <c r="D53" s="50">
        <v>0</v>
      </c>
      <c r="E53" s="50">
        <f t="shared" si="1"/>
        <v>2.73443999999999</v>
      </c>
      <c r="L53" s="45" t="s">
        <v>65</v>
      </c>
      <c r="M53" s="45" t="s">
        <v>103</v>
      </c>
      <c r="N53" s="45">
        <v>5.3918600000000003</v>
      </c>
      <c r="O53" s="45">
        <v>0.44808999999999999</v>
      </c>
      <c r="P53" s="45">
        <v>0</v>
      </c>
      <c r="Q53" s="45">
        <v>5.83995</v>
      </c>
      <c r="T53" t="s">
        <v>151</v>
      </c>
      <c r="U53" t="s">
        <v>103</v>
      </c>
      <c r="V53">
        <v>9.0957299999999996</v>
      </c>
      <c r="W53">
        <v>0</v>
      </c>
      <c r="X53">
        <v>0</v>
      </c>
      <c r="Y53">
        <v>9.0957299999999996</v>
      </c>
    </row>
    <row r="54" spans="1:25" ht="18.75" customHeight="1">
      <c r="A54" s="49" t="s">
        <v>65</v>
      </c>
      <c r="B54" s="48" t="s">
        <v>50</v>
      </c>
      <c r="C54" s="48">
        <f t="shared" si="0"/>
        <v>15.054029999999999</v>
      </c>
      <c r="D54" s="50">
        <v>0</v>
      </c>
      <c r="E54" s="50">
        <f t="shared" si="1"/>
        <v>15.054029999999999</v>
      </c>
      <c r="L54" s="45" t="s">
        <v>53</v>
      </c>
      <c r="M54" s="45" t="s">
        <v>50</v>
      </c>
      <c r="N54" s="45">
        <v>1.9524999999999899</v>
      </c>
      <c r="O54" s="45">
        <v>0</v>
      </c>
      <c r="P54" s="45">
        <v>0</v>
      </c>
      <c r="Q54" s="45">
        <v>1.9524999999999899</v>
      </c>
      <c r="T54" t="s">
        <v>31</v>
      </c>
      <c r="U54" t="s">
        <v>50</v>
      </c>
      <c r="V54">
        <v>2.6674299999999902</v>
      </c>
      <c r="W54">
        <v>2.4123000000000001</v>
      </c>
      <c r="X54">
        <v>0</v>
      </c>
      <c r="Y54">
        <v>5.0797299999999899</v>
      </c>
    </row>
    <row r="55" spans="1:25" ht="18.75" customHeight="1">
      <c r="A55" s="49" t="s">
        <v>53</v>
      </c>
      <c r="B55" s="48" t="s">
        <v>50</v>
      </c>
      <c r="C55" s="48">
        <f t="shared" si="0"/>
        <v>2.73443999999999</v>
      </c>
      <c r="D55" s="50">
        <v>0</v>
      </c>
      <c r="E55" s="50">
        <f t="shared" si="1"/>
        <v>2.73443999999999</v>
      </c>
      <c r="L55" s="45" t="s">
        <v>117</v>
      </c>
      <c r="M55" s="45" t="s">
        <v>50</v>
      </c>
      <c r="N55" s="45">
        <v>1.9524999999999899</v>
      </c>
      <c r="O55" s="45">
        <v>0</v>
      </c>
      <c r="P55" s="45">
        <v>0</v>
      </c>
      <c r="Q55" s="45">
        <v>1.9524999999999899</v>
      </c>
      <c r="T55" t="s">
        <v>53</v>
      </c>
      <c r="U55" t="s">
        <v>50</v>
      </c>
      <c r="V55">
        <v>2.73443999999999</v>
      </c>
      <c r="W55">
        <v>0</v>
      </c>
      <c r="X55">
        <v>0</v>
      </c>
      <c r="Y55">
        <v>2.73443999999999</v>
      </c>
    </row>
    <row r="56" spans="1:25" ht="17.5" customHeight="1">
      <c r="A56" t="s">
        <v>151</v>
      </c>
      <c r="B56" t="s">
        <v>103</v>
      </c>
      <c r="C56" s="48">
        <f t="shared" si="0"/>
        <v>9.0957299999999996</v>
      </c>
      <c r="D56" s="50">
        <v>0</v>
      </c>
      <c r="E56" s="50">
        <f t="shared" ref="E56" si="2">SUM(C56:D56)</f>
        <v>9.0957299999999996</v>
      </c>
      <c r="L56" s="45" t="s">
        <v>116</v>
      </c>
      <c r="M56" s="45" t="s">
        <v>50</v>
      </c>
      <c r="N56" s="45">
        <v>1.9524999999999899</v>
      </c>
      <c r="O56" s="45">
        <v>0</v>
      </c>
      <c r="P56" s="45">
        <v>0</v>
      </c>
      <c r="Q56" s="45">
        <v>1.9524999999999899</v>
      </c>
      <c r="T56" t="s">
        <v>41</v>
      </c>
      <c r="U56" t="s">
        <v>50</v>
      </c>
      <c r="V56">
        <v>2.73443999999999</v>
      </c>
      <c r="W56">
        <v>0</v>
      </c>
      <c r="X56">
        <v>0</v>
      </c>
      <c r="Y56">
        <v>2.73443999999999</v>
      </c>
    </row>
    <row r="57" spans="1:25" ht="17.5" customHeight="1">
      <c r="L57" s="45" t="s">
        <v>41</v>
      </c>
      <c r="M57" s="45" t="s">
        <v>50</v>
      </c>
      <c r="N57" s="45">
        <v>1.9524999999999899</v>
      </c>
      <c r="O57" s="45">
        <v>0</v>
      </c>
      <c r="P57" s="45">
        <v>0</v>
      </c>
      <c r="Q57" s="45">
        <v>1.9524999999999899</v>
      </c>
      <c r="T57" t="s">
        <v>116</v>
      </c>
      <c r="U57" t="s">
        <v>50</v>
      </c>
      <c r="V57">
        <v>2.73443999999999</v>
      </c>
      <c r="W57">
        <v>0</v>
      </c>
      <c r="X57">
        <v>0</v>
      </c>
      <c r="Y57">
        <v>2.73443999999999</v>
      </c>
    </row>
    <row r="58" spans="1:25" ht="17.5" customHeight="1">
      <c r="L58" s="45" t="s">
        <v>31</v>
      </c>
      <c r="M58" s="45" t="s">
        <v>50</v>
      </c>
      <c r="N58" s="45">
        <v>1.9524999999999899</v>
      </c>
      <c r="O58" s="45">
        <v>0</v>
      </c>
      <c r="P58" s="45">
        <v>0</v>
      </c>
      <c r="Q58" s="45">
        <v>1.9524999999999899</v>
      </c>
      <c r="T58" t="s">
        <v>117</v>
      </c>
      <c r="U58" t="s">
        <v>50</v>
      </c>
      <c r="V58">
        <v>2.73443999999999</v>
      </c>
      <c r="W58">
        <v>0</v>
      </c>
      <c r="X58">
        <v>0</v>
      </c>
      <c r="Y58">
        <v>2.73443999999999</v>
      </c>
    </row>
  </sheetData>
  <phoneticPr fontId="1" type="noConversion"/>
  <conditionalFormatting sqref="E2:E56">
    <cfRule type="dataBar" priority="45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{46F8AD1A-E961-D8EB-6AF0-6190C6FBAE67}</x14:id>
        </ext>
      </extLst>
    </cfRule>
  </conditionalFormatting>
  <conditionalFormatting sqref="E2:E56">
    <cfRule type="dataBar" priority="50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{B9566B2C-BC3B-DCB7-9426-4A6DBF065F83}</x14:id>
        </ext>
      </extLst>
    </cfRule>
  </conditionalFormatting>
  <conditionalFormatting sqref="Q3:Q58">
    <cfRule type="dataBar" priority="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{E01ABD29-E5B7-EA46-8D2E-B2F5051BBAD8}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F8AD1A-E961-D8EB-6AF0-6190C6FBAE67}">
            <x14:dataBar minLength="0" maxLength="100">
              <x14:cfvo type="autoMin"/>
              <x14:cfvo type="autoMax"/>
              <x14:negativeFillColor rgb="FFF97885"/>
              <x14:axisColor rgb="FFFFFFFF"/>
            </x14:dataBar>
          </x14:cfRule>
          <xm:sqref>E2:E56</xm:sqref>
        </x14:conditionalFormatting>
        <x14:conditionalFormatting xmlns:xm="http://schemas.microsoft.com/office/excel/2006/main">
          <x14:cfRule type="dataBar" id="{B9566B2C-BC3B-DCB7-9426-4A6DBF065F83}">
            <x14:dataBar minLength="0" maxLength="100">
              <x14:cfvo type="autoMin"/>
              <x14:cfvo type="autoMax"/>
              <x14:negativeFillColor rgb="FFF97885"/>
              <x14:axisColor rgb="FFFFFFFF"/>
            </x14:dataBar>
          </x14:cfRule>
          <xm:sqref>E2:E56</xm:sqref>
        </x14:conditionalFormatting>
        <x14:conditionalFormatting xmlns:xm="http://schemas.microsoft.com/office/excel/2006/main">
          <x14:cfRule type="dataBar" id="{E01ABD29-E5B7-EA46-8D2E-B2F5051BBAD8}">
            <x14:dataBar minLength="0" maxLength="100">
              <x14:cfvo type="autoMin"/>
              <x14:cfvo type="autoMax"/>
              <x14:negativeFillColor rgb="FFF97885"/>
              <x14:axisColor rgb="FFFFFFFF"/>
            </x14:dataBar>
          </x14:cfRule>
          <xm:sqref>Q3:Q58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5E67-956E-D145-8613-302BB901CDFC}">
  <sheetPr>
    <outlinePr summaryBelow="0" summaryRight="0"/>
  </sheetPr>
  <dimension ref="A1:AC42"/>
  <sheetViews>
    <sheetView workbookViewId="0">
      <selection activeCell="F33" sqref="F33"/>
    </sheetView>
  </sheetViews>
  <sheetFormatPr baseColWidth="10" defaultColWidth="9" defaultRowHeight="17.5" customHeight="1"/>
  <cols>
    <col min="1" max="1" width="6.33203125" style="96"/>
    <col min="2" max="2" width="8.6640625" style="96" customWidth="1"/>
  </cols>
  <sheetData>
    <row r="1" spans="1:29" ht="17.5" customHeight="1">
      <c r="A1" t="s">
        <v>157</v>
      </c>
      <c r="B1" t="s">
        <v>179</v>
      </c>
      <c r="U1" s="122" t="s">
        <v>159</v>
      </c>
      <c r="V1" s="122"/>
      <c r="W1" s="122"/>
      <c r="X1" s="122"/>
      <c r="Y1" s="122"/>
      <c r="AB1" s="122" t="s">
        <v>161</v>
      </c>
      <c r="AC1" s="122"/>
    </row>
    <row r="2" spans="1:29" ht="17.5" customHeight="1">
      <c r="A2" s="44" t="s">
        <v>165</v>
      </c>
      <c r="B2" s="44">
        <v>122.5</v>
      </c>
      <c r="U2" t="s">
        <v>157</v>
      </c>
      <c r="V2" t="s">
        <v>118</v>
      </c>
      <c r="W2" t="s">
        <v>119</v>
      </c>
      <c r="X2" t="s">
        <v>120</v>
      </c>
      <c r="Y2" t="s">
        <v>121</v>
      </c>
      <c r="AB2" t="s">
        <v>160</v>
      </c>
      <c r="AC2" t="s">
        <v>177</v>
      </c>
    </row>
    <row r="3" spans="1:29" ht="17.5" customHeight="1">
      <c r="A3" s="44" t="s">
        <v>18</v>
      </c>
      <c r="B3" s="44">
        <v>152.92500000000001</v>
      </c>
      <c r="U3" t="s">
        <v>41</v>
      </c>
      <c r="V3" t="s">
        <v>122</v>
      </c>
      <c r="W3">
        <v>384.2</v>
      </c>
      <c r="X3">
        <v>64.03</v>
      </c>
      <c r="Y3">
        <v>190</v>
      </c>
      <c r="AB3" s="44" t="s">
        <v>165</v>
      </c>
      <c r="AC3" s="44">
        <v>122.5</v>
      </c>
    </row>
    <row r="4" spans="1:29" ht="17.5" customHeight="1">
      <c r="A4" s="44" t="s">
        <v>54</v>
      </c>
      <c r="B4" s="44">
        <v>130.19999999999999</v>
      </c>
      <c r="U4" t="s">
        <v>31</v>
      </c>
      <c r="V4" t="s">
        <v>122</v>
      </c>
      <c r="W4">
        <v>324.39999999999998</v>
      </c>
      <c r="X4">
        <v>54.07</v>
      </c>
      <c r="Y4">
        <v>159</v>
      </c>
      <c r="AB4" s="44" t="s">
        <v>18</v>
      </c>
      <c r="AC4" s="44">
        <v>152.92500000000001</v>
      </c>
    </row>
    <row r="5" spans="1:29" ht="17.5" customHeight="1">
      <c r="A5" s="44" t="s">
        <v>164</v>
      </c>
      <c r="B5" s="44">
        <v>60</v>
      </c>
      <c r="U5" t="s">
        <v>53</v>
      </c>
      <c r="V5" t="s">
        <v>122</v>
      </c>
      <c r="W5">
        <v>236.7</v>
      </c>
      <c r="X5">
        <v>29.59</v>
      </c>
      <c r="Y5">
        <v>20</v>
      </c>
      <c r="AB5" s="44" t="s">
        <v>54</v>
      </c>
      <c r="AC5" s="44">
        <v>130.19999999999999</v>
      </c>
    </row>
    <row r="6" spans="1:29" ht="17.5" customHeight="1">
      <c r="A6" s="44" t="s">
        <v>41</v>
      </c>
      <c r="B6" s="44">
        <v>690.4</v>
      </c>
      <c r="U6" t="s">
        <v>60</v>
      </c>
      <c r="V6" t="s">
        <v>123</v>
      </c>
      <c r="W6">
        <v>187.7</v>
      </c>
      <c r="X6">
        <v>62.57</v>
      </c>
      <c r="Y6">
        <v>19</v>
      </c>
      <c r="AB6" s="44" t="s">
        <v>164</v>
      </c>
      <c r="AC6" s="44">
        <v>60</v>
      </c>
    </row>
    <row r="7" spans="1:29" ht="17.5" customHeight="1">
      <c r="A7" s="44" t="s">
        <v>75</v>
      </c>
      <c r="B7" s="44">
        <v>519.35</v>
      </c>
      <c r="U7" t="s">
        <v>29</v>
      </c>
      <c r="V7" t="s">
        <v>123</v>
      </c>
      <c r="W7">
        <v>146.25</v>
      </c>
      <c r="X7">
        <v>73.13</v>
      </c>
      <c r="Y7">
        <v>36</v>
      </c>
      <c r="AB7" s="44" t="s">
        <v>41</v>
      </c>
      <c r="AC7" s="44">
        <v>690.4</v>
      </c>
    </row>
    <row r="8" spans="1:29" ht="17.5" customHeight="1">
      <c r="A8" s="44" t="s">
        <v>76</v>
      </c>
      <c r="B8" s="44">
        <v>103.85</v>
      </c>
      <c r="U8" t="s">
        <v>34</v>
      </c>
      <c r="V8" t="s">
        <v>123</v>
      </c>
      <c r="W8">
        <v>133.19999999999999</v>
      </c>
      <c r="X8">
        <v>33.299999999999997</v>
      </c>
      <c r="Y8">
        <v>13</v>
      </c>
      <c r="AB8" s="44" t="s">
        <v>75</v>
      </c>
      <c r="AC8" s="44">
        <v>519.35</v>
      </c>
    </row>
    <row r="9" spans="1:29" ht="17.5" customHeight="1">
      <c r="A9" s="44" t="s">
        <v>39</v>
      </c>
      <c r="B9" s="44">
        <v>69.75</v>
      </c>
      <c r="U9" t="s">
        <v>42</v>
      </c>
      <c r="V9" t="s">
        <v>123</v>
      </c>
      <c r="W9">
        <v>130.80000000000001</v>
      </c>
      <c r="X9">
        <v>65.400000000000006</v>
      </c>
      <c r="Y9">
        <v>53</v>
      </c>
      <c r="AB9" s="44" t="s">
        <v>76</v>
      </c>
      <c r="AC9" s="44">
        <v>103.85</v>
      </c>
    </row>
    <row r="10" spans="1:29" ht="17.5" customHeight="1">
      <c r="A10" s="44" t="s">
        <v>67</v>
      </c>
      <c r="B10" s="44">
        <v>146.44</v>
      </c>
      <c r="U10" t="s">
        <v>70</v>
      </c>
      <c r="V10" t="s">
        <v>123</v>
      </c>
      <c r="W10">
        <v>117</v>
      </c>
      <c r="X10">
        <v>58.5</v>
      </c>
      <c r="Y10">
        <v>1</v>
      </c>
      <c r="AB10" s="44" t="s">
        <v>39</v>
      </c>
      <c r="AC10" s="44">
        <v>69.75</v>
      </c>
    </row>
    <row r="11" spans="1:29" ht="17.5" customHeight="1">
      <c r="A11" s="44" t="s">
        <v>162</v>
      </c>
      <c r="B11" s="44">
        <v>342.15</v>
      </c>
      <c r="U11" t="s">
        <v>75</v>
      </c>
      <c r="V11" t="s">
        <v>123</v>
      </c>
      <c r="W11">
        <v>95</v>
      </c>
      <c r="X11">
        <v>47.5</v>
      </c>
      <c r="Y11">
        <v>53</v>
      </c>
      <c r="AB11" s="44" t="s">
        <v>67</v>
      </c>
      <c r="AC11" s="44">
        <v>146.44</v>
      </c>
    </row>
    <row r="12" spans="1:29" ht="17.5" customHeight="1">
      <c r="A12" s="44" t="s">
        <v>79</v>
      </c>
      <c r="B12" s="44">
        <v>62.35</v>
      </c>
      <c r="U12" t="s">
        <v>71</v>
      </c>
      <c r="V12" t="s">
        <v>123</v>
      </c>
      <c r="W12">
        <v>78</v>
      </c>
      <c r="X12">
        <v>78</v>
      </c>
      <c r="Y12">
        <v>15</v>
      </c>
      <c r="AB12" s="44" t="s">
        <v>162</v>
      </c>
      <c r="AC12" s="44">
        <v>342.15</v>
      </c>
    </row>
    <row r="13" spans="1:29" ht="17.5" customHeight="1">
      <c r="A13" s="44" t="s">
        <v>155</v>
      </c>
      <c r="B13" s="44">
        <v>27.05</v>
      </c>
      <c r="U13" t="s">
        <v>54</v>
      </c>
      <c r="V13" t="s">
        <v>123</v>
      </c>
      <c r="W13">
        <v>77.400000000000006</v>
      </c>
      <c r="X13">
        <v>77.400000000000006</v>
      </c>
      <c r="Y13">
        <v>44</v>
      </c>
      <c r="AB13" s="44" t="s">
        <v>79</v>
      </c>
      <c r="AC13" s="44">
        <v>62.35</v>
      </c>
    </row>
    <row r="14" spans="1:29" ht="17.5" customHeight="1">
      <c r="A14" s="44" t="s">
        <v>65</v>
      </c>
      <c r="B14" s="44">
        <v>446</v>
      </c>
      <c r="U14" t="s">
        <v>21</v>
      </c>
      <c r="V14" t="s">
        <v>123</v>
      </c>
      <c r="W14">
        <v>77</v>
      </c>
      <c r="X14">
        <v>77</v>
      </c>
      <c r="Y14">
        <v>26</v>
      </c>
      <c r="AB14" s="44" t="s">
        <v>155</v>
      </c>
      <c r="AC14" s="44">
        <v>27.05</v>
      </c>
    </row>
    <row r="15" spans="1:29" ht="17.5" customHeight="1">
      <c r="A15" s="44" t="s">
        <v>163</v>
      </c>
      <c r="B15" s="44">
        <v>191.5</v>
      </c>
      <c r="U15" t="s">
        <v>18</v>
      </c>
      <c r="V15" t="s">
        <v>123</v>
      </c>
      <c r="W15">
        <v>76.125</v>
      </c>
      <c r="X15">
        <v>38.06</v>
      </c>
      <c r="Y15">
        <v>9</v>
      </c>
      <c r="AB15" s="44" t="s">
        <v>65</v>
      </c>
      <c r="AC15" s="44">
        <v>446</v>
      </c>
    </row>
    <row r="16" spans="1:29" ht="17.5" customHeight="1">
      <c r="A16" s="44" t="s">
        <v>151</v>
      </c>
      <c r="B16" s="44">
        <v>86.2</v>
      </c>
      <c r="U16" t="s">
        <v>39</v>
      </c>
      <c r="V16" t="s">
        <v>123</v>
      </c>
      <c r="W16">
        <v>69.75</v>
      </c>
      <c r="X16">
        <v>69.75</v>
      </c>
      <c r="Y16">
        <v>6</v>
      </c>
      <c r="AB16" s="44" t="s">
        <v>163</v>
      </c>
      <c r="AC16" s="44">
        <v>191.5</v>
      </c>
    </row>
    <row r="17" spans="1:29" ht="17.5" customHeight="1">
      <c r="A17" s="44" t="s">
        <v>21</v>
      </c>
      <c r="B17" s="44">
        <v>95.6</v>
      </c>
      <c r="U17" t="s">
        <v>67</v>
      </c>
      <c r="V17" t="s">
        <v>123</v>
      </c>
      <c r="W17">
        <v>64.94</v>
      </c>
      <c r="X17">
        <v>32.47</v>
      </c>
      <c r="Y17">
        <v>40</v>
      </c>
      <c r="AB17" s="44" t="s">
        <v>151</v>
      </c>
      <c r="AC17" s="44">
        <v>86.2</v>
      </c>
    </row>
    <row r="18" spans="1:29" ht="17.5" customHeight="1">
      <c r="A18" s="44" t="s">
        <v>166</v>
      </c>
      <c r="B18" s="44">
        <v>210.8</v>
      </c>
      <c r="U18" t="s">
        <v>61</v>
      </c>
      <c r="V18" t="s">
        <v>123</v>
      </c>
      <c r="W18">
        <v>62.5</v>
      </c>
      <c r="X18">
        <v>15.63</v>
      </c>
      <c r="Y18">
        <v>0</v>
      </c>
      <c r="AB18" s="44" t="s">
        <v>21</v>
      </c>
      <c r="AC18" s="44">
        <v>95.6</v>
      </c>
    </row>
    <row r="19" spans="1:29" ht="17.5" customHeight="1">
      <c r="A19" s="44" t="s">
        <v>167</v>
      </c>
      <c r="B19" s="44">
        <v>101.2</v>
      </c>
      <c r="U19" t="s">
        <v>77</v>
      </c>
      <c r="V19" t="s">
        <v>123</v>
      </c>
      <c r="W19">
        <v>62.4</v>
      </c>
      <c r="X19">
        <v>62.4</v>
      </c>
      <c r="Y19">
        <v>21</v>
      </c>
      <c r="AB19" s="44" t="s">
        <v>166</v>
      </c>
      <c r="AC19" s="44">
        <v>210.8</v>
      </c>
    </row>
    <row r="20" spans="1:29" ht="17.5" customHeight="1">
      <c r="A20" s="44" t="s">
        <v>168</v>
      </c>
      <c r="B20" s="44">
        <v>83.2</v>
      </c>
      <c r="U20" t="s">
        <v>65</v>
      </c>
      <c r="V20" t="s">
        <v>122</v>
      </c>
      <c r="W20">
        <v>60</v>
      </c>
      <c r="X20">
        <v>30</v>
      </c>
      <c r="Y20">
        <v>156</v>
      </c>
      <c r="AB20" s="44" t="s">
        <v>167</v>
      </c>
      <c r="AC20" s="44">
        <v>101.2</v>
      </c>
    </row>
    <row r="21" spans="1:29" ht="17.5" customHeight="1">
      <c r="A21" s="44" t="s">
        <v>42</v>
      </c>
      <c r="B21" s="44">
        <v>294.60000000000002</v>
      </c>
      <c r="U21" t="s">
        <v>23</v>
      </c>
      <c r="V21" t="s">
        <v>123</v>
      </c>
      <c r="W21">
        <v>53.2</v>
      </c>
      <c r="X21">
        <v>53.2</v>
      </c>
      <c r="Y21">
        <v>57</v>
      </c>
      <c r="AB21" s="44" t="s">
        <v>168</v>
      </c>
      <c r="AC21" s="44">
        <v>83.2</v>
      </c>
    </row>
    <row r="22" spans="1:29" ht="17.5" customHeight="1">
      <c r="A22" s="44" t="s">
        <v>169</v>
      </c>
      <c r="B22" s="44">
        <v>46.2</v>
      </c>
      <c r="U22" t="s">
        <v>79</v>
      </c>
      <c r="V22" t="s">
        <v>123</v>
      </c>
      <c r="W22">
        <v>50.8</v>
      </c>
      <c r="X22">
        <v>16.93</v>
      </c>
      <c r="Y22">
        <v>0</v>
      </c>
      <c r="AB22" s="44" t="s">
        <v>42</v>
      </c>
      <c r="AC22" s="44">
        <v>294.60000000000002</v>
      </c>
    </row>
    <row r="23" spans="1:29" ht="17.5" customHeight="1">
      <c r="A23" s="44" t="s">
        <v>170</v>
      </c>
      <c r="B23" s="44">
        <v>267.8</v>
      </c>
      <c r="U23" t="s">
        <v>63</v>
      </c>
      <c r="V23" t="s">
        <v>123</v>
      </c>
      <c r="W23">
        <v>48.35</v>
      </c>
      <c r="X23">
        <v>16.12</v>
      </c>
      <c r="Y23">
        <v>0</v>
      </c>
      <c r="AB23" s="44" t="s">
        <v>169</v>
      </c>
      <c r="AC23" s="44">
        <v>46.2</v>
      </c>
    </row>
    <row r="24" spans="1:29" ht="17.5" customHeight="1">
      <c r="A24" s="44" t="s">
        <v>63</v>
      </c>
      <c r="B24" s="44">
        <v>67.349999999999994</v>
      </c>
      <c r="U24" t="s">
        <v>76</v>
      </c>
      <c r="V24" t="s">
        <v>123</v>
      </c>
      <c r="W24">
        <v>39.200000000000003</v>
      </c>
      <c r="X24">
        <v>19.600000000000001</v>
      </c>
      <c r="Y24">
        <v>0</v>
      </c>
      <c r="AB24" s="44" t="s">
        <v>170</v>
      </c>
      <c r="AC24" s="44">
        <v>267.8</v>
      </c>
    </row>
    <row r="25" spans="1:29" ht="17.5" customHeight="1">
      <c r="A25" s="44" t="s">
        <v>31</v>
      </c>
      <c r="B25" s="44">
        <v>606.75</v>
      </c>
      <c r="U25" t="s">
        <v>68</v>
      </c>
      <c r="V25" t="s">
        <v>123</v>
      </c>
      <c r="W25">
        <v>27.05</v>
      </c>
      <c r="X25">
        <v>27.05</v>
      </c>
      <c r="Y25">
        <v>0</v>
      </c>
      <c r="AB25" s="44" t="s">
        <v>63</v>
      </c>
      <c r="AC25" s="44">
        <v>67.349999999999994</v>
      </c>
    </row>
    <row r="26" spans="1:29" ht="17.5" customHeight="1">
      <c r="A26" s="44" t="s">
        <v>80</v>
      </c>
      <c r="B26" s="44">
        <v>86.25</v>
      </c>
      <c r="U26" t="s">
        <v>80</v>
      </c>
      <c r="V26" t="s">
        <v>123</v>
      </c>
      <c r="W26">
        <v>17.25</v>
      </c>
      <c r="X26">
        <v>17.25</v>
      </c>
      <c r="Y26">
        <v>0</v>
      </c>
      <c r="AB26" s="44" t="s">
        <v>31</v>
      </c>
      <c r="AC26" s="44">
        <v>606.75</v>
      </c>
    </row>
    <row r="27" spans="1:29" ht="17.5" customHeight="1">
      <c r="A27" s="44" t="s">
        <v>171</v>
      </c>
      <c r="B27" s="44">
        <v>12</v>
      </c>
      <c r="AB27" s="44" t="s">
        <v>80</v>
      </c>
      <c r="AC27" s="44">
        <v>86.25</v>
      </c>
    </row>
    <row r="28" spans="1:29" ht="17.5" customHeight="1">
      <c r="A28" s="44" t="s">
        <v>172</v>
      </c>
      <c r="B28" s="44">
        <v>362.45</v>
      </c>
      <c r="AB28" s="44" t="s">
        <v>171</v>
      </c>
      <c r="AC28" s="44">
        <v>12</v>
      </c>
    </row>
    <row r="29" spans="1:29" ht="17.5" customHeight="1">
      <c r="A29" s="44" t="s">
        <v>71</v>
      </c>
      <c r="B29" s="44">
        <v>78</v>
      </c>
      <c r="AB29" s="44" t="s">
        <v>172</v>
      </c>
      <c r="AC29" s="44">
        <v>362.45</v>
      </c>
    </row>
    <row r="30" spans="1:29" ht="17.5" customHeight="1">
      <c r="A30" s="44" t="s">
        <v>62</v>
      </c>
      <c r="B30" s="44">
        <v>65.8</v>
      </c>
      <c r="AB30" s="44" t="s">
        <v>71</v>
      </c>
      <c r="AC30" s="44">
        <v>78</v>
      </c>
    </row>
    <row r="31" spans="1:29" ht="17.5" customHeight="1">
      <c r="A31" s="44" t="s">
        <v>173</v>
      </c>
      <c r="B31" s="44">
        <v>133.19999999999999</v>
      </c>
      <c r="AB31" s="44" t="s">
        <v>62</v>
      </c>
      <c r="AC31" s="44">
        <v>65.8</v>
      </c>
    </row>
    <row r="32" spans="1:29" ht="17.5" customHeight="1">
      <c r="A32" s="44"/>
      <c r="B32" s="44"/>
      <c r="AB32" s="44" t="s">
        <v>173</v>
      </c>
      <c r="AC32" s="44">
        <v>133.19999999999999</v>
      </c>
    </row>
    <row r="33" spans="1:2" ht="17.5" customHeight="1">
      <c r="A33" s="44"/>
      <c r="B33" s="44"/>
    </row>
    <row r="34" spans="1:2" ht="17.5" customHeight="1">
      <c r="A34" s="44"/>
      <c r="B34" s="44"/>
    </row>
    <row r="35" spans="1:2" ht="17.5" customHeight="1">
      <c r="A35" s="44"/>
      <c r="B35" s="44"/>
    </row>
    <row r="36" spans="1:2" ht="17.5" customHeight="1">
      <c r="A36" s="44"/>
      <c r="B36" s="44"/>
    </row>
    <row r="37" spans="1:2" ht="17.5" customHeight="1">
      <c r="A37" s="44"/>
      <c r="B37" s="44"/>
    </row>
    <row r="38" spans="1:2" ht="17.5" customHeight="1">
      <c r="A38" s="44"/>
      <c r="B38" s="44"/>
    </row>
    <row r="39" spans="1:2" ht="17.5" customHeight="1">
      <c r="A39" s="44"/>
      <c r="B39" s="44"/>
    </row>
    <row r="40" spans="1:2" ht="17.5" customHeight="1">
      <c r="A40" s="44"/>
      <c r="B40" s="44"/>
    </row>
    <row r="41" spans="1:2" ht="17.5" customHeight="1">
      <c r="A41" s="44"/>
      <c r="B41" s="44"/>
    </row>
    <row r="42" spans="1:2" ht="17.5" customHeight="1">
      <c r="A42" s="44"/>
      <c r="B42" s="44"/>
    </row>
  </sheetData>
  <mergeCells count="2">
    <mergeCell ref="U1:Y1"/>
    <mergeCell ref="AB1:AC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4CC3-85E1-384D-833D-F36659EDAAE1}">
  <sheetPr>
    <outlinePr summaryBelow="0" summaryRight="0"/>
  </sheetPr>
  <dimension ref="A1:J59"/>
  <sheetViews>
    <sheetView topLeftCell="A21" workbookViewId="0">
      <selection activeCell="J21" sqref="J21"/>
    </sheetView>
  </sheetViews>
  <sheetFormatPr baseColWidth="10" defaultColWidth="10" defaultRowHeight="16.5" customHeight="1"/>
  <cols>
    <col min="2" max="2" width="19.5" style="96"/>
    <col min="3" max="3" width="17" style="96"/>
    <col min="4" max="4" width="16.5" style="96"/>
    <col min="5" max="5" width="16.1640625" style="96"/>
    <col min="6" max="6" width="18.33203125" style="96"/>
  </cols>
  <sheetData>
    <row r="1" spans="1:10" ht="16.5" customHeight="1" thickBot="1">
      <c r="A1" s="100" t="s">
        <v>0</v>
      </c>
      <c r="B1" s="101" t="s">
        <v>125</v>
      </c>
      <c r="C1" s="102" t="s">
        <v>126</v>
      </c>
      <c r="D1" s="101" t="s">
        <v>127</v>
      </c>
      <c r="E1" s="101" t="s">
        <v>128</v>
      </c>
      <c r="F1" s="101" t="s">
        <v>129</v>
      </c>
      <c r="G1" s="103" t="s">
        <v>8</v>
      </c>
      <c r="H1" s="39"/>
      <c r="I1" s="39"/>
      <c r="J1" s="43"/>
    </row>
    <row r="2" spans="1:10" ht="16.5" customHeight="1" thickBot="1">
      <c r="A2" s="104" t="s">
        <v>39</v>
      </c>
      <c r="B2" s="105">
        <v>10</v>
      </c>
      <c r="C2" s="106">
        <v>10</v>
      </c>
      <c r="D2" s="107">
        <v>8.0217824062677696</v>
      </c>
      <c r="E2" s="106">
        <v>10</v>
      </c>
      <c r="F2" s="106">
        <v>0</v>
      </c>
      <c r="G2" s="108">
        <v>8.60435648125355</v>
      </c>
      <c r="H2" s="42"/>
      <c r="I2" s="42"/>
      <c r="J2" s="43"/>
    </row>
    <row r="3" spans="1:10" ht="16.5" customHeight="1" thickBot="1">
      <c r="A3" s="104" t="s">
        <v>79</v>
      </c>
      <c r="B3" s="105">
        <v>10</v>
      </c>
      <c r="C3" s="106">
        <v>10</v>
      </c>
      <c r="D3" s="107">
        <v>4.9924959940072302</v>
      </c>
      <c r="E3" s="106">
        <v>10</v>
      </c>
      <c r="F3" s="106">
        <v>4</v>
      </c>
      <c r="G3" s="108">
        <v>8.3984991988014492</v>
      </c>
    </row>
    <row r="4" spans="1:10" ht="16.5" customHeight="1" thickBot="1">
      <c r="A4" s="109" t="s">
        <v>60</v>
      </c>
      <c r="B4" s="105">
        <v>10</v>
      </c>
      <c r="C4" s="106">
        <v>10</v>
      </c>
      <c r="D4" s="107">
        <v>6.4802541219843297</v>
      </c>
      <c r="E4" s="106">
        <v>10</v>
      </c>
      <c r="F4" s="106">
        <v>0</v>
      </c>
      <c r="G4" s="108">
        <v>8.29605082439687</v>
      </c>
    </row>
    <row r="5" spans="1:10" ht="16.5" customHeight="1" thickBot="1">
      <c r="A5" s="104" t="s">
        <v>17</v>
      </c>
      <c r="B5" s="105">
        <v>10</v>
      </c>
      <c r="C5" s="106">
        <v>10</v>
      </c>
      <c r="D5" s="107">
        <v>6.1426608351079297</v>
      </c>
      <c r="E5" s="106">
        <v>10</v>
      </c>
      <c r="F5" s="106">
        <v>0</v>
      </c>
      <c r="G5" s="108">
        <v>8.2285321670215907</v>
      </c>
    </row>
    <row r="6" spans="1:10" ht="16.5" customHeight="1" thickBot="1">
      <c r="A6" s="104" t="s">
        <v>34</v>
      </c>
      <c r="B6" s="105">
        <v>10</v>
      </c>
      <c r="C6" s="106">
        <v>10</v>
      </c>
      <c r="D6" s="107">
        <v>7.3905630274745597</v>
      </c>
      <c r="E6" s="106">
        <v>10</v>
      </c>
      <c r="F6" s="106">
        <v>0</v>
      </c>
      <c r="G6" s="108">
        <v>8.4781126054949105</v>
      </c>
    </row>
    <row r="7" spans="1:10" ht="16.5" customHeight="1" thickBot="1">
      <c r="A7" s="104" t="s">
        <v>47</v>
      </c>
      <c r="B7" s="105">
        <v>10</v>
      </c>
      <c r="C7" s="106">
        <v>10</v>
      </c>
      <c r="D7" s="107">
        <v>5.0377896766379697</v>
      </c>
      <c r="E7" s="106">
        <v>10</v>
      </c>
      <c r="F7" s="106">
        <v>0</v>
      </c>
      <c r="G7" s="108">
        <v>8.0075579353275899</v>
      </c>
    </row>
    <row r="8" spans="1:10" ht="16.5" customHeight="1" thickBot="1">
      <c r="A8" s="104" t="s">
        <v>46</v>
      </c>
      <c r="B8" s="105">
        <v>10</v>
      </c>
      <c r="C8" s="106">
        <v>10</v>
      </c>
      <c r="D8" s="107">
        <v>7.0970561019911598</v>
      </c>
      <c r="E8" s="106">
        <v>10</v>
      </c>
      <c r="F8" s="106">
        <v>0</v>
      </c>
      <c r="G8" s="108">
        <v>8.4194112203982296</v>
      </c>
    </row>
    <row r="9" spans="1:10" ht="16.5" customHeight="1" thickBot="1">
      <c r="A9" s="104" t="s">
        <v>21</v>
      </c>
      <c r="B9" s="105">
        <v>10</v>
      </c>
      <c r="C9" s="106">
        <v>10</v>
      </c>
      <c r="D9" s="107">
        <v>8.8940363375858098</v>
      </c>
      <c r="E9" s="106">
        <v>10</v>
      </c>
      <c r="F9" s="106">
        <v>0</v>
      </c>
      <c r="G9" s="108">
        <v>8.7788072675171591</v>
      </c>
    </row>
    <row r="10" spans="1:10" ht="16.5" customHeight="1" thickBot="1">
      <c r="A10" s="104" t="s">
        <v>28</v>
      </c>
      <c r="B10" s="105">
        <v>10</v>
      </c>
      <c r="C10" s="106">
        <v>10</v>
      </c>
      <c r="D10" s="107">
        <v>6.77087060908661</v>
      </c>
      <c r="E10" s="106">
        <v>10</v>
      </c>
      <c r="F10" s="106">
        <v>0</v>
      </c>
      <c r="G10" s="108">
        <v>8.3541741218173193</v>
      </c>
    </row>
    <row r="11" spans="1:10" ht="16.5" customHeight="1" thickBot="1">
      <c r="A11" s="104" t="s">
        <v>40</v>
      </c>
      <c r="B11" s="105">
        <v>10</v>
      </c>
      <c r="C11" s="106">
        <v>10</v>
      </c>
      <c r="D11" s="107">
        <v>5.5748562652752698</v>
      </c>
      <c r="E11" s="106">
        <v>10</v>
      </c>
      <c r="F11" s="106">
        <v>0</v>
      </c>
      <c r="G11" s="108">
        <v>8.1149712530550495</v>
      </c>
    </row>
    <row r="12" spans="1:10" ht="16.5" customHeight="1" thickBot="1">
      <c r="A12" s="104" t="s">
        <v>42</v>
      </c>
      <c r="B12" s="105">
        <v>10</v>
      </c>
      <c r="C12" s="106">
        <v>10</v>
      </c>
      <c r="D12" s="107">
        <v>5.7771530286627497</v>
      </c>
      <c r="E12" s="106">
        <v>10</v>
      </c>
      <c r="F12" s="106">
        <v>0</v>
      </c>
      <c r="G12" s="108">
        <v>8.1554306057325494</v>
      </c>
    </row>
    <row r="13" spans="1:10" ht="16.5" customHeight="1" thickBot="1">
      <c r="A13" s="104" t="s">
        <v>18</v>
      </c>
      <c r="B13" s="105">
        <v>10</v>
      </c>
      <c r="C13" s="106">
        <v>10</v>
      </c>
      <c r="D13" s="107">
        <v>5.2124285197110902</v>
      </c>
      <c r="E13" s="106">
        <v>10</v>
      </c>
      <c r="F13" s="106">
        <v>0</v>
      </c>
      <c r="G13" s="108">
        <v>8.0424857039422193</v>
      </c>
    </row>
    <row r="14" spans="1:10" ht="16.5" customHeight="1" thickBot="1">
      <c r="A14" s="110" t="s">
        <v>27</v>
      </c>
      <c r="B14" s="111">
        <v>10</v>
      </c>
      <c r="C14" s="112">
        <v>10</v>
      </c>
      <c r="D14" s="107">
        <v>6</v>
      </c>
      <c r="E14" s="112">
        <v>10</v>
      </c>
      <c r="F14" s="112">
        <v>0</v>
      </c>
      <c r="G14" s="113">
        <v>8.1999999999999993</v>
      </c>
    </row>
    <row r="15" spans="1:10" ht="16.5" customHeight="1" thickBot="1">
      <c r="A15" s="104" t="s">
        <v>24</v>
      </c>
      <c r="B15" s="105">
        <v>10</v>
      </c>
      <c r="C15" s="106">
        <v>10</v>
      </c>
      <c r="D15" s="107">
        <v>5.3211570173459402</v>
      </c>
      <c r="E15" s="106">
        <v>10</v>
      </c>
      <c r="F15" s="106">
        <v>0</v>
      </c>
      <c r="G15" s="108">
        <v>8.06423140346919</v>
      </c>
    </row>
    <row r="16" spans="1:10" ht="16.5" customHeight="1" thickBot="1">
      <c r="A16" s="109" t="s">
        <v>48</v>
      </c>
      <c r="B16" s="105">
        <v>10</v>
      </c>
      <c r="C16" s="106">
        <v>10</v>
      </c>
      <c r="D16" s="107">
        <v>5.2124285197110902</v>
      </c>
      <c r="E16" s="106">
        <v>10</v>
      </c>
      <c r="F16" s="106">
        <v>0</v>
      </c>
      <c r="G16" s="108">
        <v>8.0424857039422193</v>
      </c>
    </row>
    <row r="17" spans="1:7" ht="16.5" customHeight="1" thickBot="1">
      <c r="A17" s="104" t="s">
        <v>45</v>
      </c>
      <c r="B17" s="105">
        <v>10</v>
      </c>
      <c r="C17" s="106">
        <v>10</v>
      </c>
      <c r="D17" s="107">
        <v>5.4298855149807901</v>
      </c>
      <c r="E17" s="106">
        <v>10</v>
      </c>
      <c r="F17" s="106">
        <v>0</v>
      </c>
      <c r="G17" s="108">
        <v>8.0859771029961607</v>
      </c>
    </row>
    <row r="18" spans="1:7" ht="16.5" customHeight="1" thickBot="1">
      <c r="A18" s="104" t="s">
        <v>32</v>
      </c>
      <c r="B18" s="105">
        <v>10</v>
      </c>
      <c r="C18" s="106">
        <v>10</v>
      </c>
      <c r="D18" s="107">
        <v>5.2124285197110902</v>
      </c>
      <c r="E18" s="106">
        <v>10</v>
      </c>
      <c r="F18" s="106">
        <v>0</v>
      </c>
      <c r="G18" s="108">
        <v>8.0424857039422193</v>
      </c>
    </row>
    <row r="19" spans="1:7" ht="16.5" customHeight="1" thickBot="1">
      <c r="A19" s="104" t="s">
        <v>43</v>
      </c>
      <c r="B19" s="105">
        <v>10</v>
      </c>
      <c r="C19" s="106">
        <v>10</v>
      </c>
      <c r="D19" s="107">
        <v>5.2124285197110902</v>
      </c>
      <c r="E19" s="106">
        <v>10</v>
      </c>
      <c r="F19" s="106">
        <v>0</v>
      </c>
      <c r="G19" s="108">
        <v>8.0424857039422193</v>
      </c>
    </row>
    <row r="20" spans="1:7" ht="16.5" customHeight="1" thickBot="1">
      <c r="A20" s="104" t="s">
        <v>71</v>
      </c>
      <c r="B20" s="105">
        <v>10</v>
      </c>
      <c r="C20" s="106">
        <v>10</v>
      </c>
      <c r="D20" s="107">
        <v>5.3035760541923702</v>
      </c>
      <c r="E20" s="106">
        <v>10</v>
      </c>
      <c r="F20" s="106">
        <v>0</v>
      </c>
      <c r="G20" s="108">
        <v>8.0607152108384703</v>
      </c>
    </row>
    <row r="21" spans="1:7" ht="16.5" customHeight="1" thickBot="1">
      <c r="A21" s="109" t="s">
        <v>55</v>
      </c>
      <c r="B21" s="105">
        <v>10</v>
      </c>
      <c r="C21" s="106">
        <v>10</v>
      </c>
      <c r="D21" s="107">
        <v>6.6053014623721999</v>
      </c>
      <c r="E21" s="106">
        <v>10</v>
      </c>
      <c r="F21" s="106">
        <v>0</v>
      </c>
      <c r="G21" s="108">
        <v>8.3210602924744403</v>
      </c>
    </row>
    <row r="22" spans="1:7" ht="16.5" customHeight="1" thickBot="1">
      <c r="A22" s="104" t="s">
        <v>61</v>
      </c>
      <c r="B22" s="105">
        <v>10</v>
      </c>
      <c r="C22" s="106">
        <v>10</v>
      </c>
      <c r="D22" s="107">
        <v>4.50865417953215</v>
      </c>
      <c r="E22" s="106">
        <v>10</v>
      </c>
      <c r="F22" s="106">
        <v>0</v>
      </c>
      <c r="G22" s="108">
        <v>7.90173083590643</v>
      </c>
    </row>
    <row r="23" spans="1:7" ht="16.5" customHeight="1" thickBot="1">
      <c r="A23" s="104" t="s">
        <v>69</v>
      </c>
      <c r="B23" s="105">
        <v>10</v>
      </c>
      <c r="C23" s="106">
        <v>10</v>
      </c>
      <c r="D23" s="107">
        <v>5.5210330494620701</v>
      </c>
      <c r="E23" s="106">
        <v>10</v>
      </c>
      <c r="F23" s="106">
        <v>0</v>
      </c>
      <c r="G23" s="108">
        <v>8.1042066098924099</v>
      </c>
    </row>
    <row r="24" spans="1:7" ht="16.5" customHeight="1" thickBot="1">
      <c r="A24" s="109" t="s">
        <v>13</v>
      </c>
      <c r="B24" s="105">
        <v>10</v>
      </c>
      <c r="C24" s="106">
        <v>10</v>
      </c>
      <c r="D24" s="107">
        <v>4.50865417953215</v>
      </c>
      <c r="E24" s="106">
        <v>10</v>
      </c>
      <c r="F24" s="106">
        <v>0</v>
      </c>
      <c r="G24" s="108">
        <v>7.90173083590643</v>
      </c>
    </row>
    <row r="25" spans="1:7" ht="16.5" customHeight="1" thickBot="1">
      <c r="A25" s="104" t="s">
        <v>49</v>
      </c>
      <c r="B25" s="105">
        <v>10</v>
      </c>
      <c r="C25" s="106">
        <v>10</v>
      </c>
      <c r="D25" s="107">
        <v>4.50865417953215</v>
      </c>
      <c r="E25" s="106">
        <v>10</v>
      </c>
      <c r="F25" s="106">
        <v>0</v>
      </c>
      <c r="G25" s="108">
        <v>7.90173083590643</v>
      </c>
    </row>
    <row r="26" spans="1:7" ht="16.5" customHeight="1" thickBot="1">
      <c r="A26" s="104" t="s">
        <v>56</v>
      </c>
      <c r="B26" s="105">
        <v>10</v>
      </c>
      <c r="C26" s="106">
        <v>10</v>
      </c>
      <c r="D26" s="107">
        <v>4.9924959940072302</v>
      </c>
      <c r="E26" s="106">
        <v>10</v>
      </c>
      <c r="F26" s="106">
        <v>0</v>
      </c>
      <c r="G26" s="108">
        <v>7.9984991988014498</v>
      </c>
    </row>
    <row r="27" spans="1:7" ht="16.5" customHeight="1" thickBot="1">
      <c r="A27" s="104" t="s">
        <v>29</v>
      </c>
      <c r="B27" s="105">
        <v>10</v>
      </c>
      <c r="C27" s="106">
        <v>10</v>
      </c>
      <c r="D27" s="107">
        <v>4.1679616955591596</v>
      </c>
      <c r="E27" s="106">
        <v>10</v>
      </c>
      <c r="F27" s="106">
        <v>0</v>
      </c>
      <c r="G27" s="108">
        <v>7.8335923391118296</v>
      </c>
    </row>
    <row r="28" spans="1:7" ht="16.5" customHeight="1" thickBot="1">
      <c r="A28" s="104" t="s">
        <v>57</v>
      </c>
      <c r="B28" s="105">
        <v>10</v>
      </c>
      <c r="C28" s="106">
        <v>10</v>
      </c>
      <c r="D28" s="107">
        <v>4.9924959940072302</v>
      </c>
      <c r="E28" s="106">
        <v>10</v>
      </c>
      <c r="F28" s="106">
        <v>0</v>
      </c>
      <c r="G28" s="108">
        <v>7.9984991988014498</v>
      </c>
    </row>
    <row r="29" spans="1:7" ht="16.5" customHeight="1" thickBot="1">
      <c r="A29" s="104" t="s">
        <v>51</v>
      </c>
      <c r="B29" s="105">
        <v>10</v>
      </c>
      <c r="C29" s="106">
        <v>10</v>
      </c>
      <c r="D29" s="107">
        <v>6</v>
      </c>
      <c r="E29" s="106">
        <v>10</v>
      </c>
      <c r="F29" s="106">
        <v>0</v>
      </c>
      <c r="G29" s="108">
        <v>8.1999999999999993</v>
      </c>
    </row>
    <row r="30" spans="1:7" ht="16.5" customHeight="1" thickBot="1">
      <c r="A30" s="104" t="s">
        <v>72</v>
      </c>
      <c r="B30" s="105">
        <v>10</v>
      </c>
      <c r="C30" s="106">
        <v>10</v>
      </c>
      <c r="D30" s="107">
        <v>4.9924959940072302</v>
      </c>
      <c r="E30" s="106">
        <v>10</v>
      </c>
      <c r="F30" s="106">
        <v>0</v>
      </c>
      <c r="G30" s="108">
        <v>7.9984991988014498</v>
      </c>
    </row>
    <row r="31" spans="1:7" ht="16.5" customHeight="1" thickBot="1">
      <c r="A31" s="104" t="s">
        <v>70</v>
      </c>
      <c r="B31" s="105">
        <v>10</v>
      </c>
      <c r="C31" s="106">
        <v>10</v>
      </c>
      <c r="D31" s="107">
        <v>4.9924959940072302</v>
      </c>
      <c r="E31" s="106">
        <v>10</v>
      </c>
      <c r="F31" s="106">
        <v>0</v>
      </c>
      <c r="G31" s="108">
        <v>7.9984991988014498</v>
      </c>
    </row>
    <row r="32" spans="1:7" ht="16.5" customHeight="1" thickBot="1">
      <c r="A32" s="104" t="s">
        <v>23</v>
      </c>
      <c r="B32" s="105">
        <v>10</v>
      </c>
      <c r="C32" s="106">
        <v>10</v>
      </c>
      <c r="D32" s="107">
        <v>5.1948475565575203</v>
      </c>
      <c r="E32" s="106">
        <v>10</v>
      </c>
      <c r="F32" s="106">
        <v>0</v>
      </c>
      <c r="G32" s="108">
        <v>8.0389695113114996</v>
      </c>
    </row>
    <row r="33" spans="1:7" ht="16.5" customHeight="1" thickBot="1">
      <c r="A33" s="104" t="s">
        <v>54</v>
      </c>
      <c r="B33" s="105">
        <v>10</v>
      </c>
      <c r="C33" s="106">
        <v>10</v>
      </c>
      <c r="D33" s="107">
        <v>4.2766901931940096</v>
      </c>
      <c r="E33" s="106">
        <v>10</v>
      </c>
      <c r="F33" s="106">
        <v>0</v>
      </c>
      <c r="G33" s="108">
        <v>7.8553380386388003</v>
      </c>
    </row>
    <row r="34" spans="1:7" ht="16.5" customHeight="1" thickBot="1">
      <c r="A34" s="104" t="s">
        <v>62</v>
      </c>
      <c r="B34" s="105">
        <v>10</v>
      </c>
      <c r="C34" s="106">
        <v>10</v>
      </c>
      <c r="D34" s="107">
        <v>10</v>
      </c>
      <c r="E34" s="106">
        <v>10</v>
      </c>
      <c r="F34" s="106">
        <v>0</v>
      </c>
      <c r="G34" s="108">
        <v>9</v>
      </c>
    </row>
    <row r="35" spans="1:7" ht="16.5" customHeight="1" thickBot="1">
      <c r="A35" s="104" t="s">
        <v>78</v>
      </c>
      <c r="B35" s="105">
        <v>10</v>
      </c>
      <c r="C35" s="106">
        <v>10</v>
      </c>
      <c r="D35" s="107">
        <v>5.1948475565575203</v>
      </c>
      <c r="E35" s="106">
        <v>10</v>
      </c>
      <c r="F35" s="106">
        <v>0</v>
      </c>
      <c r="G35" s="108">
        <v>8.0389695113114996</v>
      </c>
    </row>
    <row r="36" spans="1:7" ht="16.5" customHeight="1" thickBot="1">
      <c r="A36" s="104" t="s">
        <v>37</v>
      </c>
      <c r="B36" s="105">
        <v>10</v>
      </c>
      <c r="C36" s="106">
        <v>10</v>
      </c>
      <c r="D36" s="107">
        <v>4.1679616955591596</v>
      </c>
      <c r="E36" s="106">
        <v>10</v>
      </c>
      <c r="F36" s="106">
        <v>0</v>
      </c>
      <c r="G36" s="108">
        <v>7.8335923391118296</v>
      </c>
    </row>
    <row r="37" spans="1:7" ht="16.5" customHeight="1" thickBot="1">
      <c r="A37" s="104" t="s">
        <v>44</v>
      </c>
      <c r="B37" s="105">
        <v>10</v>
      </c>
      <c r="C37" s="106">
        <v>10</v>
      </c>
      <c r="D37" s="107">
        <v>0</v>
      </c>
      <c r="E37" s="106">
        <v>10</v>
      </c>
      <c r="F37" s="106">
        <v>0</v>
      </c>
      <c r="G37" s="108">
        <v>7</v>
      </c>
    </row>
    <row r="38" spans="1:7" ht="16.5" customHeight="1" thickBot="1">
      <c r="A38" s="109" t="s">
        <v>77</v>
      </c>
      <c r="B38" s="105">
        <v>10</v>
      </c>
      <c r="C38" s="106">
        <v>10</v>
      </c>
      <c r="D38" s="107">
        <v>5.4123045518272201</v>
      </c>
      <c r="E38" s="106">
        <v>10</v>
      </c>
      <c r="F38" s="106">
        <v>0</v>
      </c>
      <c r="G38" s="108">
        <v>8.0824609103654392</v>
      </c>
    </row>
    <row r="39" spans="1:7" ht="16.5" customHeight="1" thickBot="1">
      <c r="A39" s="104" t="s">
        <v>76</v>
      </c>
      <c r="B39" s="105">
        <v>10</v>
      </c>
      <c r="C39" s="106">
        <v>10</v>
      </c>
      <c r="D39" s="107">
        <v>5.1948475565575203</v>
      </c>
      <c r="E39" s="106">
        <v>10</v>
      </c>
      <c r="F39" s="106">
        <v>0</v>
      </c>
      <c r="G39" s="108">
        <v>8.0389695113114996</v>
      </c>
    </row>
    <row r="40" spans="1:7" ht="16.5" customHeight="1" thickBot="1">
      <c r="A40" s="104" t="s">
        <v>63</v>
      </c>
      <c r="B40" s="105">
        <v>10</v>
      </c>
      <c r="C40" s="106">
        <v>10</v>
      </c>
      <c r="D40" s="107">
        <v>0</v>
      </c>
      <c r="E40" s="106">
        <v>10</v>
      </c>
      <c r="F40" s="106">
        <v>10</v>
      </c>
      <c r="G40" s="108">
        <v>8</v>
      </c>
    </row>
    <row r="41" spans="1:7" ht="16.5" customHeight="1" thickBot="1">
      <c r="A41" s="104" t="s">
        <v>58</v>
      </c>
      <c r="B41" s="105">
        <v>10</v>
      </c>
      <c r="C41" s="106">
        <v>10</v>
      </c>
      <c r="D41" s="107">
        <v>0.94231248639806497</v>
      </c>
      <c r="E41" s="106">
        <v>10</v>
      </c>
      <c r="F41" s="106">
        <v>0</v>
      </c>
      <c r="G41" s="108">
        <v>7.1884624972796098</v>
      </c>
    </row>
    <row r="42" spans="1:7" ht="16.5" customHeight="1" thickBot="1">
      <c r="A42" s="104" t="s">
        <v>80</v>
      </c>
      <c r="B42" s="105">
        <v>10</v>
      </c>
      <c r="C42" s="106">
        <v>10</v>
      </c>
      <c r="D42" s="107">
        <v>6.6113380685608902</v>
      </c>
      <c r="E42" s="106">
        <v>10</v>
      </c>
      <c r="F42" s="106">
        <v>0</v>
      </c>
      <c r="G42" s="108">
        <v>8.3222676137121798</v>
      </c>
    </row>
    <row r="43" spans="1:7" ht="16.5" customHeight="1" thickBot="1">
      <c r="A43" s="104" t="s">
        <v>26</v>
      </c>
      <c r="B43" s="105">
        <v>10</v>
      </c>
      <c r="C43" s="106">
        <v>10</v>
      </c>
      <c r="D43" s="107">
        <v>1.5221989668879099</v>
      </c>
      <c r="E43" s="106">
        <v>10</v>
      </c>
      <c r="F43" s="106">
        <v>0</v>
      </c>
      <c r="G43" s="108">
        <v>7.30443979337758</v>
      </c>
    </row>
    <row r="44" spans="1:7" ht="16.5" customHeight="1" thickBot="1">
      <c r="A44" s="104" t="s">
        <v>31</v>
      </c>
      <c r="B44" s="105">
        <v>10</v>
      </c>
      <c r="C44" s="106">
        <v>10</v>
      </c>
      <c r="D44" s="107">
        <v>6</v>
      </c>
      <c r="E44" s="106">
        <v>10</v>
      </c>
      <c r="F44" s="106">
        <v>0</v>
      </c>
      <c r="G44" s="108">
        <v>8.1999999999999993</v>
      </c>
    </row>
    <row r="45" spans="1:7" ht="16.5" customHeight="1" thickBot="1">
      <c r="A45" s="104" t="s">
        <v>41</v>
      </c>
      <c r="B45" s="105">
        <v>10</v>
      </c>
      <c r="C45" s="106">
        <v>10</v>
      </c>
      <c r="D45" s="107">
        <v>6</v>
      </c>
      <c r="E45" s="106">
        <v>10</v>
      </c>
      <c r="F45" s="106">
        <v>0</v>
      </c>
      <c r="G45" s="108">
        <v>8.1999999999999993</v>
      </c>
    </row>
    <row r="46" spans="1:7" ht="16.5" customHeight="1" thickBot="1">
      <c r="A46" s="104" t="s">
        <v>53</v>
      </c>
      <c r="B46" s="105">
        <v>10</v>
      </c>
      <c r="C46" s="106">
        <v>10</v>
      </c>
      <c r="D46" s="107">
        <v>6</v>
      </c>
      <c r="E46" s="106">
        <v>10</v>
      </c>
      <c r="F46" s="106">
        <v>0</v>
      </c>
      <c r="G46" s="108">
        <v>8.1999999999999993</v>
      </c>
    </row>
    <row r="47" spans="1:7" ht="16.5" customHeight="1" thickBot="1">
      <c r="A47" s="104" t="s">
        <v>65</v>
      </c>
      <c r="B47" s="105">
        <v>10</v>
      </c>
      <c r="C47" s="106">
        <v>10</v>
      </c>
      <c r="D47" s="107">
        <v>5.62976154709692</v>
      </c>
      <c r="E47" s="106">
        <v>10</v>
      </c>
      <c r="F47" s="106">
        <v>0</v>
      </c>
      <c r="G47" s="108">
        <v>8.1259523094193806</v>
      </c>
    </row>
    <row r="48" spans="1:7" ht="16.5" customHeight="1" thickBot="1">
      <c r="A48" s="104" t="s">
        <v>67</v>
      </c>
      <c r="B48" s="105">
        <v>10</v>
      </c>
      <c r="C48" s="106">
        <v>10</v>
      </c>
      <c r="D48" s="107">
        <v>6</v>
      </c>
      <c r="E48" s="106">
        <v>10</v>
      </c>
      <c r="F48" s="106">
        <v>0</v>
      </c>
      <c r="G48" s="108">
        <v>8.1999999999999993</v>
      </c>
    </row>
    <row r="49" spans="1:7" ht="16.5" customHeight="1" thickBot="1">
      <c r="A49" s="104" t="s">
        <v>38</v>
      </c>
      <c r="B49" s="105">
        <v>10</v>
      </c>
      <c r="C49" s="106">
        <v>10</v>
      </c>
      <c r="D49" s="107">
        <v>6</v>
      </c>
      <c r="E49" s="106">
        <v>10</v>
      </c>
      <c r="F49" s="106">
        <v>0</v>
      </c>
      <c r="G49" s="108">
        <v>8.1999999999999993</v>
      </c>
    </row>
    <row r="50" spans="1:7" ht="16.5" customHeight="1" thickBot="1">
      <c r="A50" s="104" t="s">
        <v>66</v>
      </c>
      <c r="B50" s="105">
        <v>10</v>
      </c>
      <c r="C50" s="106">
        <v>10</v>
      </c>
      <c r="D50" s="107">
        <v>0.217456995269702</v>
      </c>
      <c r="E50" s="106">
        <v>10</v>
      </c>
      <c r="F50" s="106">
        <v>0</v>
      </c>
      <c r="G50" s="108">
        <v>7.0434913990539396</v>
      </c>
    </row>
    <row r="51" spans="1:7" ht="16.5" customHeight="1" thickBot="1">
      <c r="A51" s="104" t="s">
        <v>74</v>
      </c>
      <c r="B51" s="105">
        <v>10</v>
      </c>
      <c r="C51" s="106">
        <v>10</v>
      </c>
      <c r="D51" s="107">
        <v>0</v>
      </c>
      <c r="E51" s="106">
        <v>10</v>
      </c>
      <c r="F51" s="106">
        <v>0</v>
      </c>
      <c r="G51" s="108">
        <v>7</v>
      </c>
    </row>
    <row r="52" spans="1:7" ht="16.5" customHeight="1" thickBot="1">
      <c r="A52" s="104" t="s">
        <v>73</v>
      </c>
      <c r="B52" s="105">
        <v>10</v>
      </c>
      <c r="C52" s="106">
        <v>10</v>
      </c>
      <c r="D52" s="107">
        <v>0</v>
      </c>
      <c r="E52" s="106">
        <v>10</v>
      </c>
      <c r="F52" s="106">
        <v>0</v>
      </c>
      <c r="G52" s="108">
        <v>7</v>
      </c>
    </row>
    <row r="53" spans="1:7" ht="16.5" customHeight="1" thickBot="1">
      <c r="A53" s="109" t="s">
        <v>59</v>
      </c>
      <c r="B53" s="105">
        <v>10</v>
      </c>
      <c r="C53" s="106">
        <v>10</v>
      </c>
      <c r="D53" s="107">
        <v>5.3276963841076901</v>
      </c>
      <c r="E53" s="106">
        <v>10</v>
      </c>
      <c r="F53" s="106">
        <v>0</v>
      </c>
      <c r="G53" s="108">
        <v>8.0655392768215393</v>
      </c>
    </row>
    <row r="54" spans="1:7" ht="16.5" customHeight="1" thickBot="1">
      <c r="A54" s="104" t="s">
        <v>75</v>
      </c>
      <c r="B54" s="105">
        <v>10</v>
      </c>
      <c r="C54" s="106">
        <v>10</v>
      </c>
      <c r="D54" s="107">
        <v>6</v>
      </c>
      <c r="E54" s="106">
        <v>10</v>
      </c>
      <c r="F54" s="106">
        <v>0</v>
      </c>
      <c r="G54" s="108">
        <v>8.1999999999999993</v>
      </c>
    </row>
    <row r="55" spans="1:7" ht="16.5" customHeight="1" thickBot="1">
      <c r="A55" s="104" t="s">
        <v>68</v>
      </c>
      <c r="B55" s="105">
        <v>10</v>
      </c>
      <c r="C55" s="106">
        <v>10</v>
      </c>
      <c r="D55" s="107">
        <v>6</v>
      </c>
      <c r="E55" s="106">
        <v>10</v>
      </c>
      <c r="F55" s="106">
        <v>0</v>
      </c>
      <c r="G55" s="108">
        <v>8.1999999999999993</v>
      </c>
    </row>
    <row r="56" spans="1:7" ht="16.5" customHeight="1" thickBot="1">
      <c r="A56" s="104" t="s">
        <v>64</v>
      </c>
      <c r="B56" s="105">
        <v>10</v>
      </c>
      <c r="C56" s="106">
        <v>10</v>
      </c>
      <c r="D56" s="107">
        <v>5.2099529892769398</v>
      </c>
      <c r="E56" s="106">
        <v>10</v>
      </c>
      <c r="F56" s="106">
        <v>0</v>
      </c>
      <c r="G56" s="108">
        <v>8.0419905978553903</v>
      </c>
    </row>
    <row r="57" spans="1:7" ht="16.5" customHeight="1" thickBot="1">
      <c r="A57" s="104" t="s">
        <v>151</v>
      </c>
      <c r="B57" s="105">
        <v>10</v>
      </c>
      <c r="C57" s="106">
        <v>10</v>
      </c>
      <c r="D57" s="107">
        <v>5.1948475565575203</v>
      </c>
      <c r="E57" s="106">
        <v>10</v>
      </c>
      <c r="F57" s="106">
        <v>0</v>
      </c>
      <c r="G57" s="108">
        <v>8.0389695113114996</v>
      </c>
    </row>
    <row r="58" spans="1:7" ht="16.5" customHeight="1" thickBot="1">
      <c r="A58" s="36"/>
      <c r="B58" s="37"/>
      <c r="C58" s="38"/>
      <c r="D58" s="38"/>
      <c r="E58" s="40"/>
      <c r="F58" s="40"/>
      <c r="G58" s="41"/>
    </row>
    <row r="59" spans="1:7" ht="16.5" customHeight="1">
      <c r="A59" s="36"/>
      <c r="B59" s="37"/>
      <c r="C59" s="38"/>
      <c r="D59" s="38"/>
      <c r="E59" s="40"/>
      <c r="F59" s="40"/>
      <c r="G59" s="4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0C0C-4A52-4B42-A3E3-66EA09CB7E43}">
  <sheetPr>
    <outlinePr summaryBelow="0" summaryRight="0"/>
  </sheetPr>
  <dimension ref="A1:AN55"/>
  <sheetViews>
    <sheetView workbookViewId="0">
      <selection activeCell="H8" sqref="H8"/>
    </sheetView>
  </sheetViews>
  <sheetFormatPr baseColWidth="10" defaultColWidth="9" defaultRowHeight="15" customHeight="1"/>
  <cols>
    <col min="1" max="1" width="8.6640625" style="24" customWidth="1"/>
    <col min="2" max="4" width="7.6640625" style="24" customWidth="1"/>
    <col min="5" max="5" width="13.83203125" style="29" customWidth="1"/>
    <col min="6" max="7" width="9" style="24"/>
    <col min="8" max="8" width="13.83203125" style="24"/>
    <col min="9" max="40" width="9" style="24"/>
  </cols>
  <sheetData>
    <row r="1" spans="1:8" ht="25" customHeight="1">
      <c r="A1" s="30" t="s">
        <v>0</v>
      </c>
      <c r="B1" s="30" t="s">
        <v>130</v>
      </c>
      <c r="C1" s="30" t="s">
        <v>131</v>
      </c>
      <c r="D1" s="30" t="s">
        <v>132</v>
      </c>
      <c r="E1" s="33" t="s">
        <v>133</v>
      </c>
    </row>
    <row r="2" spans="1:8" ht="15" customHeight="1">
      <c r="A2" s="31" t="s">
        <v>76</v>
      </c>
      <c r="B2" s="32">
        <v>5</v>
      </c>
      <c r="C2" s="32">
        <v>5</v>
      </c>
      <c r="D2" s="32">
        <v>5</v>
      </c>
      <c r="E2" s="34">
        <f t="shared" ref="E2:E33" si="0">D2*2</f>
        <v>10</v>
      </c>
      <c r="G2" s="24" t="s">
        <v>134</v>
      </c>
      <c r="H2" s="24">
        <f>STDEV(D:D)</f>
        <v>0</v>
      </c>
    </row>
    <row r="3" spans="1:8" ht="15" customHeight="1">
      <c r="A3" s="31" t="s">
        <v>59</v>
      </c>
      <c r="B3" s="32">
        <v>5</v>
      </c>
      <c r="C3" s="32">
        <v>5</v>
      </c>
      <c r="D3" s="32">
        <v>5</v>
      </c>
      <c r="E3" s="34">
        <f t="shared" si="0"/>
        <v>10</v>
      </c>
      <c r="G3" s="24" t="s">
        <v>135</v>
      </c>
      <c r="H3" s="24">
        <f>AVERAGE(D:D)</f>
        <v>5</v>
      </c>
    </row>
    <row r="4" spans="1:8" ht="15" customHeight="1">
      <c r="A4" s="31" t="s">
        <v>77</v>
      </c>
      <c r="B4" s="32">
        <v>5</v>
      </c>
      <c r="C4" s="32">
        <v>5</v>
      </c>
      <c r="D4" s="32">
        <v>5</v>
      </c>
      <c r="E4" s="34">
        <f t="shared" si="0"/>
        <v>10</v>
      </c>
    </row>
    <row r="5" spans="1:8" ht="15" customHeight="1">
      <c r="A5" s="31" t="s">
        <v>64</v>
      </c>
      <c r="B5" s="32">
        <v>5</v>
      </c>
      <c r="C5" s="32">
        <v>5</v>
      </c>
      <c r="D5" s="32">
        <v>5</v>
      </c>
      <c r="E5" s="34">
        <f t="shared" si="0"/>
        <v>10</v>
      </c>
    </row>
    <row r="6" spans="1:8" ht="15" customHeight="1">
      <c r="A6" s="31" t="s">
        <v>55</v>
      </c>
      <c r="B6" s="32">
        <v>5</v>
      </c>
      <c r="C6" s="32">
        <v>5</v>
      </c>
      <c r="D6" s="32">
        <v>5</v>
      </c>
      <c r="E6" s="34">
        <f t="shared" si="0"/>
        <v>10</v>
      </c>
    </row>
    <row r="7" spans="1:8" ht="15" customHeight="1">
      <c r="A7" s="31" t="s">
        <v>78</v>
      </c>
      <c r="B7" s="32">
        <v>5</v>
      </c>
      <c r="C7" s="32">
        <v>5</v>
      </c>
      <c r="D7" s="32">
        <v>5</v>
      </c>
      <c r="E7" s="34">
        <f t="shared" si="0"/>
        <v>10</v>
      </c>
    </row>
    <row r="8" spans="1:8" ht="15" customHeight="1">
      <c r="A8" s="31" t="s">
        <v>75</v>
      </c>
      <c r="B8" s="32">
        <v>5</v>
      </c>
      <c r="C8" s="32">
        <v>5</v>
      </c>
      <c r="D8" s="32">
        <v>5</v>
      </c>
      <c r="E8" s="34">
        <f t="shared" si="0"/>
        <v>10</v>
      </c>
    </row>
    <row r="9" spans="1:8" ht="15" customHeight="1">
      <c r="A9" s="31" t="s">
        <v>68</v>
      </c>
      <c r="B9" s="32">
        <v>5</v>
      </c>
      <c r="C9" s="32">
        <v>5</v>
      </c>
      <c r="D9" s="32">
        <v>5</v>
      </c>
      <c r="E9" s="34">
        <f t="shared" si="0"/>
        <v>10</v>
      </c>
    </row>
    <row r="10" spans="1:8" ht="15" customHeight="1">
      <c r="A10" s="31" t="s">
        <v>51</v>
      </c>
      <c r="B10" s="32">
        <v>5</v>
      </c>
      <c r="C10" s="32">
        <v>5</v>
      </c>
      <c r="D10" s="32">
        <v>5</v>
      </c>
      <c r="E10" s="34">
        <f t="shared" si="0"/>
        <v>10</v>
      </c>
    </row>
    <row r="11" spans="1:8" ht="15" customHeight="1">
      <c r="A11" s="31" t="s">
        <v>70</v>
      </c>
      <c r="B11" s="32">
        <v>5</v>
      </c>
      <c r="C11" s="32">
        <v>5</v>
      </c>
      <c r="D11" s="32">
        <v>5</v>
      </c>
      <c r="E11" s="34">
        <f t="shared" si="0"/>
        <v>10</v>
      </c>
    </row>
    <row r="12" spans="1:8" ht="15" customHeight="1">
      <c r="A12" s="31" t="s">
        <v>71</v>
      </c>
      <c r="B12" s="32">
        <v>5</v>
      </c>
      <c r="C12" s="32">
        <v>5</v>
      </c>
      <c r="D12" s="32">
        <v>5</v>
      </c>
      <c r="E12" s="34">
        <f t="shared" si="0"/>
        <v>10</v>
      </c>
    </row>
    <row r="13" spans="1:8" ht="15" customHeight="1">
      <c r="A13" s="31" t="s">
        <v>79</v>
      </c>
      <c r="B13" s="32">
        <v>5</v>
      </c>
      <c r="C13" s="32">
        <v>5</v>
      </c>
      <c r="D13" s="32">
        <v>5</v>
      </c>
      <c r="E13" s="34">
        <f t="shared" si="0"/>
        <v>10</v>
      </c>
    </row>
    <row r="14" spans="1:8" ht="15" customHeight="1">
      <c r="A14" s="31" t="s">
        <v>69</v>
      </c>
      <c r="B14" s="32">
        <v>5</v>
      </c>
      <c r="C14" s="32">
        <v>5</v>
      </c>
      <c r="D14" s="32">
        <v>5</v>
      </c>
      <c r="E14" s="34">
        <f t="shared" si="0"/>
        <v>10</v>
      </c>
    </row>
    <row r="15" spans="1:8" ht="15" customHeight="1">
      <c r="A15" s="31" t="s">
        <v>81</v>
      </c>
      <c r="B15" s="32">
        <v>5</v>
      </c>
      <c r="C15" s="32">
        <v>5</v>
      </c>
      <c r="D15" s="32">
        <v>5</v>
      </c>
      <c r="E15" s="34">
        <f t="shared" si="0"/>
        <v>10</v>
      </c>
    </row>
    <row r="16" spans="1:8" ht="15" customHeight="1">
      <c r="A16" s="31" t="s">
        <v>31</v>
      </c>
      <c r="B16" s="32">
        <v>5</v>
      </c>
      <c r="C16" s="32">
        <v>5</v>
      </c>
      <c r="D16" s="32">
        <v>5</v>
      </c>
      <c r="E16" s="34">
        <f t="shared" si="0"/>
        <v>10</v>
      </c>
    </row>
    <row r="17" spans="1:5" ht="15" customHeight="1">
      <c r="A17" s="31" t="s">
        <v>56</v>
      </c>
      <c r="B17" s="32">
        <v>5</v>
      </c>
      <c r="C17" s="32">
        <v>5</v>
      </c>
      <c r="D17" s="32">
        <v>5</v>
      </c>
      <c r="E17" s="34">
        <f t="shared" si="0"/>
        <v>10</v>
      </c>
    </row>
    <row r="18" spans="1:5" ht="15" customHeight="1">
      <c r="A18" s="31" t="s">
        <v>37</v>
      </c>
      <c r="B18" s="32">
        <v>5</v>
      </c>
      <c r="C18" s="32">
        <v>5</v>
      </c>
      <c r="D18" s="32">
        <v>5</v>
      </c>
      <c r="E18" s="34">
        <f t="shared" si="0"/>
        <v>10</v>
      </c>
    </row>
    <row r="19" spans="1:5" ht="15" customHeight="1">
      <c r="A19" s="31" t="s">
        <v>23</v>
      </c>
      <c r="B19" s="32">
        <v>5</v>
      </c>
      <c r="C19" s="32">
        <v>5</v>
      </c>
      <c r="D19" s="32">
        <v>5</v>
      </c>
      <c r="E19" s="34">
        <f t="shared" si="0"/>
        <v>10</v>
      </c>
    </row>
    <row r="20" spans="1:5" ht="15" customHeight="1">
      <c r="A20" s="31" t="s">
        <v>29</v>
      </c>
      <c r="B20" s="32">
        <v>5</v>
      </c>
      <c r="C20" s="32">
        <v>5</v>
      </c>
      <c r="D20" s="32">
        <v>5</v>
      </c>
      <c r="E20" s="34">
        <f t="shared" si="0"/>
        <v>10</v>
      </c>
    </row>
    <row r="21" spans="1:5" ht="15" customHeight="1">
      <c r="A21" s="31" t="s">
        <v>57</v>
      </c>
      <c r="B21" s="32">
        <v>5</v>
      </c>
      <c r="C21" s="32">
        <v>5</v>
      </c>
      <c r="D21" s="32">
        <v>5</v>
      </c>
      <c r="E21" s="34">
        <f t="shared" si="0"/>
        <v>10</v>
      </c>
    </row>
    <row r="22" spans="1:5" ht="15" customHeight="1">
      <c r="A22" s="31" t="s">
        <v>26</v>
      </c>
      <c r="B22" s="32">
        <v>5</v>
      </c>
      <c r="C22" s="32">
        <v>5</v>
      </c>
      <c r="D22" s="32">
        <v>5</v>
      </c>
      <c r="E22" s="34">
        <f t="shared" si="0"/>
        <v>10</v>
      </c>
    </row>
    <row r="23" spans="1:5" ht="15" customHeight="1">
      <c r="A23" s="31" t="s">
        <v>66</v>
      </c>
      <c r="B23" s="32">
        <v>5</v>
      </c>
      <c r="C23" s="32">
        <v>5</v>
      </c>
      <c r="D23" s="32">
        <v>5</v>
      </c>
      <c r="E23" s="34">
        <f t="shared" si="0"/>
        <v>10</v>
      </c>
    </row>
    <row r="24" spans="1:5" ht="15" customHeight="1">
      <c r="A24" s="31" t="s">
        <v>41</v>
      </c>
      <c r="B24" s="32">
        <v>5</v>
      </c>
      <c r="C24" s="32">
        <v>5</v>
      </c>
      <c r="D24" s="32">
        <v>5</v>
      </c>
      <c r="E24" s="34">
        <f t="shared" si="0"/>
        <v>10</v>
      </c>
    </row>
    <row r="25" spans="1:5" ht="15" customHeight="1">
      <c r="A25" s="31" t="s">
        <v>42</v>
      </c>
      <c r="B25" s="32">
        <v>5</v>
      </c>
      <c r="C25" s="32">
        <v>5</v>
      </c>
      <c r="D25" s="32">
        <v>5</v>
      </c>
      <c r="E25" s="34">
        <f t="shared" si="0"/>
        <v>10</v>
      </c>
    </row>
    <row r="26" spans="1:5" ht="15" customHeight="1">
      <c r="A26" s="31" t="s">
        <v>62</v>
      </c>
      <c r="B26" s="32">
        <v>5</v>
      </c>
      <c r="C26" s="32">
        <v>5</v>
      </c>
      <c r="D26" s="32">
        <v>5</v>
      </c>
      <c r="E26" s="34">
        <f t="shared" si="0"/>
        <v>10</v>
      </c>
    </row>
    <row r="27" spans="1:5" ht="15" customHeight="1">
      <c r="A27" s="31" t="s">
        <v>34</v>
      </c>
      <c r="B27" s="32">
        <v>5</v>
      </c>
      <c r="C27" s="32">
        <v>5</v>
      </c>
      <c r="D27" s="32">
        <v>5</v>
      </c>
      <c r="E27" s="34">
        <f t="shared" si="0"/>
        <v>10</v>
      </c>
    </row>
    <row r="28" spans="1:5" ht="15" customHeight="1">
      <c r="A28" s="31" t="s">
        <v>58</v>
      </c>
      <c r="B28" s="32">
        <v>5</v>
      </c>
      <c r="C28" s="32">
        <v>5</v>
      </c>
      <c r="D28" s="32">
        <v>5</v>
      </c>
      <c r="E28" s="34">
        <f t="shared" si="0"/>
        <v>10</v>
      </c>
    </row>
    <row r="29" spans="1:5" ht="15" customHeight="1">
      <c r="A29" s="31" t="s">
        <v>63</v>
      </c>
      <c r="B29" s="32">
        <v>5</v>
      </c>
      <c r="C29" s="32">
        <v>5</v>
      </c>
      <c r="D29" s="32">
        <v>5</v>
      </c>
      <c r="E29" s="34">
        <f t="shared" si="0"/>
        <v>10</v>
      </c>
    </row>
    <row r="30" spans="1:5" ht="15" customHeight="1">
      <c r="A30" s="31" t="s">
        <v>44</v>
      </c>
      <c r="B30" s="32">
        <v>5</v>
      </c>
      <c r="C30" s="32">
        <v>5</v>
      </c>
      <c r="D30" s="32">
        <v>5</v>
      </c>
      <c r="E30" s="34">
        <f t="shared" si="0"/>
        <v>10</v>
      </c>
    </row>
    <row r="31" spans="1:5" ht="15" customHeight="1">
      <c r="A31" s="31" t="s">
        <v>72</v>
      </c>
      <c r="B31" s="32">
        <v>5</v>
      </c>
      <c r="C31" s="32">
        <v>5</v>
      </c>
      <c r="D31" s="32">
        <v>5</v>
      </c>
      <c r="E31" s="34">
        <f t="shared" si="0"/>
        <v>10</v>
      </c>
    </row>
    <row r="32" spans="1:5" ht="15" customHeight="1">
      <c r="A32" s="31" t="s">
        <v>80</v>
      </c>
      <c r="B32" s="32">
        <v>5</v>
      </c>
      <c r="C32" s="32">
        <v>5</v>
      </c>
      <c r="D32" s="32">
        <v>5</v>
      </c>
      <c r="E32" s="34">
        <f t="shared" si="0"/>
        <v>10</v>
      </c>
    </row>
    <row r="33" spans="1:5" ht="15" customHeight="1">
      <c r="A33" s="31" t="s">
        <v>60</v>
      </c>
      <c r="B33" s="32">
        <v>5</v>
      </c>
      <c r="C33" s="32">
        <v>5</v>
      </c>
      <c r="D33" s="32">
        <v>5</v>
      </c>
      <c r="E33" s="34">
        <f t="shared" si="0"/>
        <v>10</v>
      </c>
    </row>
    <row r="34" spans="1:5" ht="15" customHeight="1">
      <c r="A34" s="31" t="s">
        <v>65</v>
      </c>
      <c r="B34" s="32">
        <v>5</v>
      </c>
      <c r="C34" s="32">
        <v>5</v>
      </c>
      <c r="D34" s="32">
        <v>5</v>
      </c>
      <c r="E34" s="34">
        <f t="shared" ref="E34:E55" si="1">D34*2</f>
        <v>10</v>
      </c>
    </row>
    <row r="35" spans="1:5" ht="15" customHeight="1">
      <c r="A35" s="31" t="s">
        <v>17</v>
      </c>
      <c r="B35" s="32">
        <v>5</v>
      </c>
      <c r="C35" s="32">
        <v>5</v>
      </c>
      <c r="D35" s="32">
        <v>5</v>
      </c>
      <c r="E35" s="34">
        <f t="shared" si="1"/>
        <v>10</v>
      </c>
    </row>
    <row r="36" spans="1:5" ht="15" customHeight="1">
      <c r="A36" s="31" t="s">
        <v>54</v>
      </c>
      <c r="B36" s="32">
        <v>5</v>
      </c>
      <c r="C36" s="32">
        <v>5</v>
      </c>
      <c r="D36" s="32">
        <v>5</v>
      </c>
      <c r="E36" s="34">
        <f t="shared" si="1"/>
        <v>10</v>
      </c>
    </row>
    <row r="37" spans="1:5" ht="15" customHeight="1">
      <c r="A37" s="31" t="s">
        <v>39</v>
      </c>
      <c r="B37" s="32">
        <v>5</v>
      </c>
      <c r="C37" s="32">
        <v>5</v>
      </c>
      <c r="D37" s="32">
        <v>5</v>
      </c>
      <c r="E37" s="34">
        <f t="shared" si="1"/>
        <v>10</v>
      </c>
    </row>
    <row r="38" spans="1:5" ht="15" customHeight="1">
      <c r="A38" s="31" t="s">
        <v>73</v>
      </c>
      <c r="B38" s="32">
        <v>5</v>
      </c>
      <c r="C38" s="32">
        <v>5</v>
      </c>
      <c r="D38" s="32">
        <v>5</v>
      </c>
      <c r="E38" s="34">
        <f t="shared" si="1"/>
        <v>10</v>
      </c>
    </row>
    <row r="39" spans="1:5" ht="15" customHeight="1">
      <c r="A39" s="31" t="s">
        <v>21</v>
      </c>
      <c r="B39" s="32">
        <v>5</v>
      </c>
      <c r="C39" s="32">
        <v>5</v>
      </c>
      <c r="D39" s="32">
        <v>5</v>
      </c>
      <c r="E39" s="34">
        <f t="shared" si="1"/>
        <v>10</v>
      </c>
    </row>
    <row r="40" spans="1:5" ht="15" customHeight="1">
      <c r="A40" s="31" t="s">
        <v>48</v>
      </c>
      <c r="B40" s="32">
        <v>5</v>
      </c>
      <c r="C40" s="32">
        <v>5</v>
      </c>
      <c r="D40" s="32">
        <v>5</v>
      </c>
      <c r="E40" s="34">
        <f t="shared" si="1"/>
        <v>10</v>
      </c>
    </row>
    <row r="41" spans="1:5" ht="15" customHeight="1">
      <c r="A41" s="31" t="s">
        <v>74</v>
      </c>
      <c r="B41" s="32">
        <v>5</v>
      </c>
      <c r="C41" s="32">
        <v>5</v>
      </c>
      <c r="D41" s="32">
        <v>5</v>
      </c>
      <c r="E41" s="34">
        <f t="shared" si="1"/>
        <v>10</v>
      </c>
    </row>
    <row r="42" spans="1:5" ht="15" customHeight="1">
      <c r="A42" s="31" t="s">
        <v>13</v>
      </c>
      <c r="B42" s="32">
        <v>5</v>
      </c>
      <c r="C42" s="32">
        <v>5</v>
      </c>
      <c r="D42" s="32">
        <v>5</v>
      </c>
      <c r="E42" s="34">
        <f t="shared" si="1"/>
        <v>10</v>
      </c>
    </row>
    <row r="43" spans="1:5" ht="15" customHeight="1">
      <c r="A43" s="31" t="s">
        <v>18</v>
      </c>
      <c r="B43" s="32">
        <v>5</v>
      </c>
      <c r="C43" s="32">
        <v>5</v>
      </c>
      <c r="D43" s="32">
        <v>5</v>
      </c>
      <c r="E43" s="34">
        <f t="shared" si="1"/>
        <v>10</v>
      </c>
    </row>
    <row r="44" spans="1:5" ht="15" customHeight="1">
      <c r="A44" s="31" t="s">
        <v>24</v>
      </c>
      <c r="B44" s="32">
        <v>5</v>
      </c>
      <c r="C44" s="32">
        <v>5</v>
      </c>
      <c r="D44" s="32">
        <v>5</v>
      </c>
      <c r="E44" s="34">
        <f t="shared" si="1"/>
        <v>10</v>
      </c>
    </row>
    <row r="45" spans="1:5" ht="15" customHeight="1">
      <c r="A45" s="31" t="s">
        <v>28</v>
      </c>
      <c r="B45" s="32">
        <v>5</v>
      </c>
      <c r="C45" s="32">
        <v>5</v>
      </c>
      <c r="D45" s="32">
        <v>5</v>
      </c>
      <c r="E45" s="34">
        <f t="shared" si="1"/>
        <v>10</v>
      </c>
    </row>
    <row r="46" spans="1:5" ht="15" customHeight="1">
      <c r="A46" s="31" t="s">
        <v>27</v>
      </c>
      <c r="B46" s="32">
        <v>5</v>
      </c>
      <c r="C46" s="32">
        <v>5</v>
      </c>
      <c r="D46" s="32">
        <v>5</v>
      </c>
      <c r="E46" s="34">
        <f t="shared" si="1"/>
        <v>10</v>
      </c>
    </row>
    <row r="47" spans="1:5" ht="15" customHeight="1">
      <c r="A47" s="31" t="s">
        <v>43</v>
      </c>
      <c r="B47" s="32">
        <v>5</v>
      </c>
      <c r="C47" s="32">
        <v>5</v>
      </c>
      <c r="D47" s="32">
        <v>5</v>
      </c>
      <c r="E47" s="34">
        <f t="shared" si="1"/>
        <v>10</v>
      </c>
    </row>
    <row r="48" spans="1:5" ht="15" customHeight="1">
      <c r="A48" s="31" t="s">
        <v>46</v>
      </c>
      <c r="B48" s="32">
        <v>5</v>
      </c>
      <c r="C48" s="32">
        <v>5</v>
      </c>
      <c r="D48" s="32">
        <v>5</v>
      </c>
      <c r="E48" s="34">
        <f t="shared" si="1"/>
        <v>10</v>
      </c>
    </row>
    <row r="49" spans="1:7" ht="15" customHeight="1">
      <c r="A49" s="31" t="s">
        <v>38</v>
      </c>
      <c r="B49" s="32">
        <v>5</v>
      </c>
      <c r="C49" s="32">
        <v>5</v>
      </c>
      <c r="D49" s="32">
        <v>5</v>
      </c>
      <c r="E49" s="34">
        <f t="shared" si="1"/>
        <v>10</v>
      </c>
      <c r="G49" s="35"/>
    </row>
    <row r="50" spans="1:7" ht="15" customHeight="1">
      <c r="A50" s="31" t="s">
        <v>45</v>
      </c>
      <c r="B50" s="32">
        <v>5</v>
      </c>
      <c r="C50" s="32">
        <v>5</v>
      </c>
      <c r="D50" s="32">
        <v>5</v>
      </c>
      <c r="E50" s="34">
        <f t="shared" si="1"/>
        <v>10</v>
      </c>
    </row>
    <row r="51" spans="1:7" ht="15" customHeight="1">
      <c r="A51" s="31" t="s">
        <v>47</v>
      </c>
      <c r="B51" s="32">
        <v>5</v>
      </c>
      <c r="C51" s="32">
        <v>5</v>
      </c>
      <c r="D51" s="32">
        <v>5</v>
      </c>
      <c r="E51" s="34">
        <f t="shared" si="1"/>
        <v>10</v>
      </c>
    </row>
    <row r="52" spans="1:7" ht="15" customHeight="1">
      <c r="A52" s="31" t="s">
        <v>40</v>
      </c>
      <c r="B52" s="32">
        <v>5</v>
      </c>
      <c r="C52" s="32">
        <v>5</v>
      </c>
      <c r="D52" s="32">
        <v>5</v>
      </c>
      <c r="E52" s="34">
        <f t="shared" si="1"/>
        <v>10</v>
      </c>
    </row>
    <row r="53" spans="1:7" ht="15" customHeight="1">
      <c r="A53" s="31" t="s">
        <v>61</v>
      </c>
      <c r="B53" s="32">
        <v>5</v>
      </c>
      <c r="C53" s="32">
        <v>5</v>
      </c>
      <c r="D53" s="32">
        <v>5</v>
      </c>
      <c r="E53" s="34">
        <f t="shared" si="1"/>
        <v>10</v>
      </c>
    </row>
    <row r="54" spans="1:7" ht="15" customHeight="1">
      <c r="A54" s="31" t="s">
        <v>32</v>
      </c>
      <c r="B54" s="32">
        <v>5</v>
      </c>
      <c r="C54" s="32">
        <v>5</v>
      </c>
      <c r="D54" s="32">
        <v>5</v>
      </c>
      <c r="E54" s="34">
        <f t="shared" si="1"/>
        <v>10</v>
      </c>
    </row>
    <row r="55" spans="1:7" ht="15" customHeight="1">
      <c r="A55" s="31" t="s">
        <v>49</v>
      </c>
      <c r="B55" s="32">
        <v>5</v>
      </c>
      <c r="C55" s="32">
        <v>5</v>
      </c>
      <c r="D55" s="32">
        <v>5</v>
      </c>
      <c r="E55" s="34">
        <f t="shared" si="1"/>
        <v>10</v>
      </c>
    </row>
  </sheetData>
  <phoneticPr fontId="1" type="noConversion"/>
  <conditionalFormatting sqref="E2:E55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280E-B918-F94C-81F3-84A6D472C23C}">
  <sheetPr>
    <outlinePr summaryBelow="0" summaryRight="0"/>
  </sheetPr>
  <dimension ref="A1:AN64"/>
  <sheetViews>
    <sheetView workbookViewId="0">
      <selection activeCell="N64" sqref="N64"/>
    </sheetView>
  </sheetViews>
  <sheetFormatPr baseColWidth="10" defaultColWidth="9.1640625" defaultRowHeight="15" customHeight="1"/>
  <cols>
    <col min="1" max="1" width="8.6640625" style="23" customWidth="1"/>
    <col min="2" max="2" width="11" style="23" customWidth="1"/>
    <col min="3" max="3" width="11" style="24" customWidth="1"/>
    <col min="4" max="40" width="9.1640625" style="24"/>
  </cols>
  <sheetData>
    <row r="1" spans="1:13" ht="15" customHeight="1">
      <c r="A1" s="25" t="s">
        <v>0</v>
      </c>
      <c r="B1" s="25" t="s">
        <v>136</v>
      </c>
      <c r="C1" s="26" t="s">
        <v>137</v>
      </c>
      <c r="G1" s="24" t="s">
        <v>180</v>
      </c>
      <c r="L1" s="24" t="s">
        <v>182</v>
      </c>
    </row>
    <row r="2" spans="1:13" ht="15" customHeight="1">
      <c r="A2" s="120" t="s">
        <v>124</v>
      </c>
      <c r="B2" s="120">
        <v>12.66</v>
      </c>
      <c r="C2" s="27">
        <f t="shared" ref="C2:C33" si="0">MIN((B2-10)*2+7,10)</f>
        <v>10</v>
      </c>
      <c r="G2" s="25" t="s">
        <v>0</v>
      </c>
      <c r="H2" s="25" t="s">
        <v>136</v>
      </c>
      <c r="I2" s="26" t="s">
        <v>137</v>
      </c>
      <c r="L2" s="128" t="s">
        <v>0</v>
      </c>
      <c r="M2" s="128" t="s">
        <v>136</v>
      </c>
    </row>
    <row r="3" spans="1:13" ht="15" customHeight="1">
      <c r="A3" s="120" t="s">
        <v>116</v>
      </c>
      <c r="B3" s="120">
        <v>12.55</v>
      </c>
      <c r="C3" s="27">
        <f t="shared" si="0"/>
        <v>10</v>
      </c>
      <c r="G3" s="120" t="s">
        <v>47</v>
      </c>
      <c r="H3" s="120">
        <v>12.41</v>
      </c>
      <c r="I3" s="27">
        <f t="shared" ref="I3:I64" si="1">MIN((H3-10)*2+7,10)</f>
        <v>10</v>
      </c>
      <c r="L3" s="120" t="s">
        <v>124</v>
      </c>
      <c r="M3" s="120">
        <v>12.66</v>
      </c>
    </row>
    <row r="4" spans="1:13" ht="15" customHeight="1">
      <c r="A4" s="120" t="s">
        <v>40</v>
      </c>
      <c r="B4" s="120">
        <v>12.4</v>
      </c>
      <c r="C4" s="27">
        <f t="shared" si="0"/>
        <v>10</v>
      </c>
      <c r="G4" s="120" t="s">
        <v>115</v>
      </c>
      <c r="H4" s="120">
        <v>12.26</v>
      </c>
      <c r="I4" s="27">
        <f t="shared" si="1"/>
        <v>10</v>
      </c>
      <c r="L4" s="120" t="s">
        <v>116</v>
      </c>
      <c r="M4" s="120">
        <v>12.55</v>
      </c>
    </row>
    <row r="5" spans="1:13" ht="15" customHeight="1">
      <c r="A5" s="120" t="s">
        <v>47</v>
      </c>
      <c r="B5" s="120">
        <v>12.32</v>
      </c>
      <c r="C5" s="27">
        <f t="shared" si="0"/>
        <v>10</v>
      </c>
      <c r="G5" s="120" t="s">
        <v>116</v>
      </c>
      <c r="H5" s="120">
        <v>12.1</v>
      </c>
      <c r="I5" s="27">
        <f t="shared" si="1"/>
        <v>10</v>
      </c>
      <c r="L5" s="120" t="s">
        <v>40</v>
      </c>
      <c r="M5" s="120">
        <v>12.4</v>
      </c>
    </row>
    <row r="6" spans="1:13" ht="15" customHeight="1">
      <c r="A6" s="120" t="s">
        <v>13</v>
      </c>
      <c r="B6" s="120">
        <v>12.29</v>
      </c>
      <c r="C6" s="27">
        <f t="shared" si="0"/>
        <v>10</v>
      </c>
      <c r="G6" s="120" t="s">
        <v>40</v>
      </c>
      <c r="H6" s="120">
        <v>12.05</v>
      </c>
      <c r="I6" s="27">
        <f t="shared" si="1"/>
        <v>10</v>
      </c>
      <c r="L6" s="120" t="s">
        <v>47</v>
      </c>
      <c r="M6" s="120">
        <v>12.32</v>
      </c>
    </row>
    <row r="7" spans="1:13" ht="15" customHeight="1">
      <c r="A7" s="120" t="s">
        <v>115</v>
      </c>
      <c r="B7" s="120">
        <v>12.27</v>
      </c>
      <c r="C7" s="27">
        <f t="shared" si="0"/>
        <v>10</v>
      </c>
      <c r="G7" s="120" t="s">
        <v>68</v>
      </c>
      <c r="H7" s="120">
        <v>12</v>
      </c>
      <c r="I7" s="27">
        <f t="shared" si="1"/>
        <v>10</v>
      </c>
      <c r="L7" s="120" t="s">
        <v>13</v>
      </c>
      <c r="M7" s="120">
        <v>12.29</v>
      </c>
    </row>
    <row r="8" spans="1:13" ht="15" customHeight="1">
      <c r="A8" s="120" t="s">
        <v>73</v>
      </c>
      <c r="B8" s="120">
        <v>11.99</v>
      </c>
      <c r="C8" s="27">
        <f t="shared" si="0"/>
        <v>10</v>
      </c>
      <c r="G8" s="120" t="s">
        <v>73</v>
      </c>
      <c r="H8" s="120">
        <v>11.95</v>
      </c>
      <c r="I8" s="27">
        <f t="shared" si="1"/>
        <v>10</v>
      </c>
      <c r="L8" s="120" t="s">
        <v>115</v>
      </c>
      <c r="M8" s="120">
        <v>12.27</v>
      </c>
    </row>
    <row r="9" spans="1:13" ht="15" customHeight="1">
      <c r="A9" s="120" t="s">
        <v>49</v>
      </c>
      <c r="B9" s="120">
        <v>11.79</v>
      </c>
      <c r="C9" s="27">
        <f t="shared" si="0"/>
        <v>10</v>
      </c>
      <c r="G9" s="120" t="s">
        <v>13</v>
      </c>
      <c r="H9" s="120">
        <v>11.83</v>
      </c>
      <c r="I9" s="27">
        <f t="shared" si="1"/>
        <v>10</v>
      </c>
      <c r="L9" s="120" t="s">
        <v>73</v>
      </c>
      <c r="M9" s="120">
        <v>11.99</v>
      </c>
    </row>
    <row r="10" spans="1:13" ht="15" customHeight="1">
      <c r="A10" s="120" t="s">
        <v>31</v>
      </c>
      <c r="B10" s="120">
        <v>11.78</v>
      </c>
      <c r="C10" s="27">
        <f t="shared" si="0"/>
        <v>10</v>
      </c>
      <c r="G10" s="120" t="s">
        <v>42</v>
      </c>
      <c r="H10" s="120">
        <v>11.77</v>
      </c>
      <c r="I10" s="27">
        <f t="shared" si="1"/>
        <v>10</v>
      </c>
      <c r="L10" s="120" t="s">
        <v>49</v>
      </c>
      <c r="M10" s="120">
        <v>11.79</v>
      </c>
    </row>
    <row r="11" spans="1:13" ht="15" customHeight="1">
      <c r="A11" s="120" t="s">
        <v>117</v>
      </c>
      <c r="B11" s="120">
        <v>11.78</v>
      </c>
      <c r="C11" s="27">
        <f t="shared" si="0"/>
        <v>10</v>
      </c>
      <c r="G11" s="120" t="s">
        <v>117</v>
      </c>
      <c r="H11" s="120">
        <v>11.69</v>
      </c>
      <c r="I11" s="27">
        <f t="shared" si="1"/>
        <v>10</v>
      </c>
      <c r="L11" s="120" t="s">
        <v>31</v>
      </c>
      <c r="M11" s="120">
        <v>11.78</v>
      </c>
    </row>
    <row r="12" spans="1:13" ht="15" customHeight="1">
      <c r="A12" s="120" t="s">
        <v>17</v>
      </c>
      <c r="B12" s="120">
        <v>11.76</v>
      </c>
      <c r="C12" s="27">
        <f t="shared" si="0"/>
        <v>10</v>
      </c>
      <c r="G12" s="120" t="s">
        <v>46</v>
      </c>
      <c r="H12" s="120">
        <v>11.6</v>
      </c>
      <c r="I12" s="27">
        <f t="shared" si="1"/>
        <v>10</v>
      </c>
      <c r="L12" s="120" t="s">
        <v>117</v>
      </c>
      <c r="M12" s="120">
        <v>11.78</v>
      </c>
    </row>
    <row r="13" spans="1:13" ht="15" customHeight="1">
      <c r="A13" s="120" t="s">
        <v>21</v>
      </c>
      <c r="B13" s="120">
        <v>11.72</v>
      </c>
      <c r="C13" s="27">
        <f t="shared" si="0"/>
        <v>10</v>
      </c>
      <c r="G13" s="120" t="s">
        <v>17</v>
      </c>
      <c r="H13" s="120">
        <v>11.6</v>
      </c>
      <c r="I13" s="27">
        <f t="shared" si="1"/>
        <v>10</v>
      </c>
      <c r="L13" s="120" t="s">
        <v>17</v>
      </c>
      <c r="M13" s="120">
        <v>11.76</v>
      </c>
    </row>
    <row r="14" spans="1:13" ht="15" customHeight="1">
      <c r="A14" s="120" t="s">
        <v>64</v>
      </c>
      <c r="B14" s="120">
        <v>11.7</v>
      </c>
      <c r="C14" s="27">
        <f t="shared" si="0"/>
        <v>10</v>
      </c>
      <c r="G14" s="120" t="s">
        <v>64</v>
      </c>
      <c r="H14" s="120">
        <v>11.59</v>
      </c>
      <c r="I14" s="27">
        <f t="shared" si="1"/>
        <v>10</v>
      </c>
      <c r="L14" s="120" t="s">
        <v>21</v>
      </c>
      <c r="M14" s="120">
        <v>11.72</v>
      </c>
    </row>
    <row r="15" spans="1:13" ht="15" customHeight="1">
      <c r="A15" s="120" t="s">
        <v>34</v>
      </c>
      <c r="B15" s="120">
        <v>11.68</v>
      </c>
      <c r="C15" s="27">
        <f t="shared" si="0"/>
        <v>10</v>
      </c>
      <c r="G15" s="120" t="s">
        <v>124</v>
      </c>
      <c r="H15" s="120">
        <v>11.54</v>
      </c>
      <c r="I15" s="27">
        <f t="shared" si="1"/>
        <v>10</v>
      </c>
      <c r="L15" s="120" t="s">
        <v>64</v>
      </c>
      <c r="M15" s="120">
        <v>11.7</v>
      </c>
    </row>
    <row r="16" spans="1:13" ht="15" customHeight="1">
      <c r="A16" s="120" t="s">
        <v>68</v>
      </c>
      <c r="B16" s="120">
        <v>11.6</v>
      </c>
      <c r="C16" s="27">
        <f t="shared" si="0"/>
        <v>10</v>
      </c>
      <c r="G16" s="120" t="s">
        <v>21</v>
      </c>
      <c r="H16" s="120">
        <v>11.51</v>
      </c>
      <c r="I16" s="27">
        <f t="shared" si="1"/>
        <v>10</v>
      </c>
      <c r="L16" s="120" t="s">
        <v>34</v>
      </c>
      <c r="M16" s="120">
        <v>11.68</v>
      </c>
    </row>
    <row r="17" spans="1:13" ht="15" customHeight="1">
      <c r="A17" s="120" t="s">
        <v>42</v>
      </c>
      <c r="B17" s="120">
        <v>11.59</v>
      </c>
      <c r="C17" s="27">
        <f t="shared" si="0"/>
        <v>10</v>
      </c>
      <c r="G17" s="120" t="s">
        <v>75</v>
      </c>
      <c r="H17" s="120">
        <v>11.49</v>
      </c>
      <c r="I17" s="27">
        <f t="shared" si="1"/>
        <v>9.98</v>
      </c>
      <c r="L17" s="120" t="s">
        <v>68</v>
      </c>
      <c r="M17" s="120">
        <v>11.6</v>
      </c>
    </row>
    <row r="18" spans="1:13" ht="15" customHeight="1">
      <c r="A18" s="120" t="s">
        <v>59</v>
      </c>
      <c r="B18" s="120">
        <v>11.54</v>
      </c>
      <c r="C18" s="27">
        <f t="shared" si="0"/>
        <v>10</v>
      </c>
      <c r="G18" s="120" t="s">
        <v>26</v>
      </c>
      <c r="H18" s="120">
        <v>11.48</v>
      </c>
      <c r="I18" s="27">
        <f t="shared" si="1"/>
        <v>9.9600000000000009</v>
      </c>
      <c r="L18" s="120" t="s">
        <v>42</v>
      </c>
      <c r="M18" s="120">
        <v>11.59</v>
      </c>
    </row>
    <row r="19" spans="1:13" ht="15" customHeight="1">
      <c r="A19" s="120" t="s">
        <v>41</v>
      </c>
      <c r="B19" s="120">
        <v>11.5</v>
      </c>
      <c r="C19" s="27">
        <f t="shared" si="0"/>
        <v>10</v>
      </c>
      <c r="G19" s="120" t="s">
        <v>34</v>
      </c>
      <c r="H19" s="120">
        <v>11.43</v>
      </c>
      <c r="I19" s="27">
        <f t="shared" si="1"/>
        <v>9.86</v>
      </c>
      <c r="L19" s="120" t="s">
        <v>59</v>
      </c>
      <c r="M19" s="120">
        <v>11.54</v>
      </c>
    </row>
    <row r="20" spans="1:13" ht="15" customHeight="1">
      <c r="A20" s="120" t="s">
        <v>46</v>
      </c>
      <c r="B20" s="120">
        <v>11.48</v>
      </c>
      <c r="C20" s="27">
        <f t="shared" si="0"/>
        <v>9.9600000000000009</v>
      </c>
      <c r="G20" s="120" t="s">
        <v>59</v>
      </c>
      <c r="H20" s="120">
        <v>11.41</v>
      </c>
      <c r="I20" s="27">
        <f t="shared" si="1"/>
        <v>9.82</v>
      </c>
      <c r="L20" s="120" t="s">
        <v>41</v>
      </c>
      <c r="M20" s="120">
        <v>11.5</v>
      </c>
    </row>
    <row r="21" spans="1:13" ht="15" customHeight="1">
      <c r="A21" s="120" t="s">
        <v>26</v>
      </c>
      <c r="B21" s="120">
        <v>11.46</v>
      </c>
      <c r="C21" s="27">
        <f t="shared" si="0"/>
        <v>9.9200000000000017</v>
      </c>
      <c r="G21" s="120" t="s">
        <v>56</v>
      </c>
      <c r="H21" s="120">
        <v>11.41</v>
      </c>
      <c r="I21" s="27">
        <f t="shared" si="1"/>
        <v>9.82</v>
      </c>
      <c r="L21" s="120" t="s">
        <v>46</v>
      </c>
      <c r="M21" s="120">
        <v>11.48</v>
      </c>
    </row>
    <row r="22" spans="1:13" ht="15" customHeight="1">
      <c r="A22" s="120" t="s">
        <v>75</v>
      </c>
      <c r="B22" s="120">
        <v>11.41</v>
      </c>
      <c r="C22" s="27">
        <f t="shared" si="0"/>
        <v>9.82</v>
      </c>
      <c r="G22" s="120" t="s">
        <v>71</v>
      </c>
      <c r="H22" s="120">
        <v>11.38</v>
      </c>
      <c r="I22" s="27">
        <f t="shared" si="1"/>
        <v>9.7600000000000016</v>
      </c>
      <c r="L22" s="120" t="s">
        <v>26</v>
      </c>
      <c r="M22" s="120">
        <v>11.46</v>
      </c>
    </row>
    <row r="23" spans="1:13" ht="15" customHeight="1">
      <c r="A23" s="120" t="s">
        <v>43</v>
      </c>
      <c r="B23" s="120">
        <v>11.38</v>
      </c>
      <c r="C23" s="27">
        <f t="shared" si="0"/>
        <v>9.7600000000000016</v>
      </c>
      <c r="G23" s="120" t="s">
        <v>37</v>
      </c>
      <c r="H23" s="120">
        <v>11.37</v>
      </c>
      <c r="I23" s="27">
        <f t="shared" si="1"/>
        <v>9.7399999999999984</v>
      </c>
      <c r="L23" s="120" t="s">
        <v>75</v>
      </c>
      <c r="M23" s="120">
        <v>11.41</v>
      </c>
    </row>
    <row r="24" spans="1:13" ht="15" customHeight="1">
      <c r="A24" s="120" t="s">
        <v>65</v>
      </c>
      <c r="B24" s="120">
        <v>11.37</v>
      </c>
      <c r="C24" s="27">
        <f t="shared" si="0"/>
        <v>9.7399999999999984</v>
      </c>
      <c r="G24" s="120" t="s">
        <v>49</v>
      </c>
      <c r="H24" s="120">
        <v>11.36</v>
      </c>
      <c r="I24" s="27">
        <f t="shared" si="1"/>
        <v>9.7199999999999989</v>
      </c>
      <c r="L24" s="120" t="s">
        <v>43</v>
      </c>
      <c r="M24" s="120">
        <v>11.38</v>
      </c>
    </row>
    <row r="25" spans="1:13" ht="15" customHeight="1">
      <c r="A25" s="120" t="s">
        <v>28</v>
      </c>
      <c r="B25" s="120">
        <v>11.35</v>
      </c>
      <c r="C25" s="27">
        <f t="shared" si="0"/>
        <v>9.6999999999999993</v>
      </c>
      <c r="G25" s="120" t="s">
        <v>43</v>
      </c>
      <c r="H25" s="120">
        <v>11.34</v>
      </c>
      <c r="I25" s="27">
        <f t="shared" si="1"/>
        <v>9.68</v>
      </c>
      <c r="L25" s="120" t="s">
        <v>65</v>
      </c>
      <c r="M25" s="120">
        <v>11.37</v>
      </c>
    </row>
    <row r="26" spans="1:13" ht="15" customHeight="1">
      <c r="A26" s="120" t="s">
        <v>70</v>
      </c>
      <c r="B26" s="120">
        <v>11.33</v>
      </c>
      <c r="C26" s="27">
        <f t="shared" si="0"/>
        <v>9.66</v>
      </c>
      <c r="G26" s="120" t="s">
        <v>69</v>
      </c>
      <c r="H26" s="120">
        <v>11.33</v>
      </c>
      <c r="I26" s="27">
        <f t="shared" si="1"/>
        <v>9.66</v>
      </c>
      <c r="L26" s="120" t="s">
        <v>28</v>
      </c>
      <c r="M26" s="120">
        <v>11.35</v>
      </c>
    </row>
    <row r="27" spans="1:13" ht="15" customHeight="1">
      <c r="A27" s="120" t="s">
        <v>58</v>
      </c>
      <c r="B27" s="120">
        <v>11.29</v>
      </c>
      <c r="C27" s="27">
        <f t="shared" si="0"/>
        <v>9.5799999999999983</v>
      </c>
      <c r="G27" s="120" t="s">
        <v>61</v>
      </c>
      <c r="H27" s="120">
        <v>11.3</v>
      </c>
      <c r="I27" s="27">
        <f t="shared" si="1"/>
        <v>9.6000000000000014</v>
      </c>
      <c r="L27" s="120" t="s">
        <v>70</v>
      </c>
      <c r="M27" s="120">
        <v>11.33</v>
      </c>
    </row>
    <row r="28" spans="1:13" ht="15" customHeight="1">
      <c r="A28" s="120" t="s">
        <v>23</v>
      </c>
      <c r="B28" s="120">
        <v>11.26</v>
      </c>
      <c r="C28" s="27">
        <f t="shared" si="0"/>
        <v>9.52</v>
      </c>
      <c r="G28" s="120" t="s">
        <v>41</v>
      </c>
      <c r="H28" s="120">
        <v>11.28</v>
      </c>
      <c r="I28" s="27">
        <f t="shared" si="1"/>
        <v>9.5599999999999987</v>
      </c>
      <c r="L28" s="120" t="s">
        <v>58</v>
      </c>
      <c r="M28" s="120">
        <v>11.29</v>
      </c>
    </row>
    <row r="29" spans="1:13" ht="15" customHeight="1">
      <c r="A29" s="120" t="s">
        <v>66</v>
      </c>
      <c r="B29" s="120">
        <v>11.23</v>
      </c>
      <c r="C29" s="27">
        <f t="shared" si="0"/>
        <v>9.4600000000000009</v>
      </c>
      <c r="G29" s="120" t="s">
        <v>31</v>
      </c>
      <c r="H29" s="120">
        <v>11.27</v>
      </c>
      <c r="I29" s="27">
        <f t="shared" si="1"/>
        <v>9.5399999999999991</v>
      </c>
      <c r="L29" s="120" t="s">
        <v>23</v>
      </c>
      <c r="M29" s="120">
        <v>11.26</v>
      </c>
    </row>
    <row r="30" spans="1:13" ht="15" customHeight="1">
      <c r="A30" s="120" t="s">
        <v>37</v>
      </c>
      <c r="B30" s="120">
        <v>11.18</v>
      </c>
      <c r="C30" s="27">
        <f t="shared" si="0"/>
        <v>9.36</v>
      </c>
      <c r="G30" s="120" t="s">
        <v>77</v>
      </c>
      <c r="H30" s="120">
        <v>11.23</v>
      </c>
      <c r="I30" s="27">
        <f t="shared" si="1"/>
        <v>9.4600000000000009</v>
      </c>
      <c r="L30" s="120" t="s">
        <v>66</v>
      </c>
      <c r="M30" s="120">
        <v>11.23</v>
      </c>
    </row>
    <row r="31" spans="1:13" ht="15" customHeight="1">
      <c r="A31" s="120" t="s">
        <v>53</v>
      </c>
      <c r="B31" s="120">
        <v>11.16</v>
      </c>
      <c r="C31" s="27">
        <f t="shared" si="0"/>
        <v>9.32</v>
      </c>
      <c r="G31" s="120" t="s">
        <v>28</v>
      </c>
      <c r="H31" s="120">
        <v>11.21</v>
      </c>
      <c r="I31" s="27">
        <f t="shared" si="1"/>
        <v>9.4200000000000017</v>
      </c>
      <c r="L31" s="120" t="s">
        <v>37</v>
      </c>
      <c r="M31" s="120">
        <v>11.18</v>
      </c>
    </row>
    <row r="32" spans="1:13" ht="15" customHeight="1">
      <c r="A32" s="120" t="s">
        <v>76</v>
      </c>
      <c r="B32" s="120">
        <v>11.16</v>
      </c>
      <c r="C32" s="27">
        <f t="shared" si="0"/>
        <v>9.32</v>
      </c>
      <c r="G32" s="120" t="s">
        <v>70</v>
      </c>
      <c r="H32" s="120">
        <v>11.2</v>
      </c>
      <c r="I32" s="27">
        <f t="shared" si="1"/>
        <v>9.3999999999999986</v>
      </c>
      <c r="L32" s="120" t="s">
        <v>53</v>
      </c>
      <c r="M32" s="120">
        <v>11.16</v>
      </c>
    </row>
    <row r="33" spans="1:13" ht="15" customHeight="1">
      <c r="A33" s="120" t="s">
        <v>69</v>
      </c>
      <c r="B33" s="120">
        <v>11.15</v>
      </c>
      <c r="C33" s="27">
        <f t="shared" si="0"/>
        <v>9.3000000000000007</v>
      </c>
      <c r="G33" s="120" t="s">
        <v>44</v>
      </c>
      <c r="H33" s="120">
        <v>11.2</v>
      </c>
      <c r="I33" s="27">
        <f t="shared" si="1"/>
        <v>9.3999999999999986</v>
      </c>
      <c r="L33" s="120" t="s">
        <v>76</v>
      </c>
      <c r="M33" s="120">
        <v>11.16</v>
      </c>
    </row>
    <row r="34" spans="1:13" ht="15" customHeight="1">
      <c r="A34" s="120" t="s">
        <v>71</v>
      </c>
      <c r="B34" s="120">
        <v>11.12</v>
      </c>
      <c r="C34" s="27">
        <f t="shared" ref="C34:C63" si="2">MIN((B34-10)*2+7,10)</f>
        <v>9.2399999999999984</v>
      </c>
      <c r="G34" s="120" t="s">
        <v>65</v>
      </c>
      <c r="H34" s="120">
        <v>11.17</v>
      </c>
      <c r="I34" s="27">
        <f t="shared" si="1"/>
        <v>9.34</v>
      </c>
      <c r="L34" s="120" t="s">
        <v>69</v>
      </c>
      <c r="M34" s="120">
        <v>11.15</v>
      </c>
    </row>
    <row r="35" spans="1:13" ht="15" customHeight="1">
      <c r="A35" s="120" t="s">
        <v>39</v>
      </c>
      <c r="B35" s="120">
        <v>11.09</v>
      </c>
      <c r="C35" s="27">
        <f t="shared" si="2"/>
        <v>9.18</v>
      </c>
      <c r="G35" s="120" t="s">
        <v>151</v>
      </c>
      <c r="H35" s="120">
        <v>11.17</v>
      </c>
      <c r="I35" s="27">
        <f t="shared" si="1"/>
        <v>9.34</v>
      </c>
      <c r="L35" s="120" t="s">
        <v>71</v>
      </c>
      <c r="M35" s="120">
        <v>11.12</v>
      </c>
    </row>
    <row r="36" spans="1:13" ht="15" customHeight="1">
      <c r="A36" s="120" t="s">
        <v>77</v>
      </c>
      <c r="B36" s="120">
        <v>11.08</v>
      </c>
      <c r="C36" s="27">
        <f t="shared" si="2"/>
        <v>9.16</v>
      </c>
      <c r="G36" s="120" t="s">
        <v>53</v>
      </c>
      <c r="H36" s="120">
        <v>11.14</v>
      </c>
      <c r="I36" s="27">
        <f t="shared" si="1"/>
        <v>9.2800000000000011</v>
      </c>
      <c r="L36" s="120" t="s">
        <v>39</v>
      </c>
      <c r="M36" s="120">
        <v>11.09</v>
      </c>
    </row>
    <row r="37" spans="1:13" ht="15" customHeight="1">
      <c r="A37" s="120" t="s">
        <v>44</v>
      </c>
      <c r="B37" s="120">
        <v>11.05</v>
      </c>
      <c r="C37" s="27">
        <f t="shared" si="2"/>
        <v>9.1000000000000014</v>
      </c>
      <c r="G37" s="120" t="s">
        <v>23</v>
      </c>
      <c r="H37" s="120">
        <v>11.12</v>
      </c>
      <c r="I37" s="27">
        <f t="shared" si="1"/>
        <v>9.2399999999999984</v>
      </c>
      <c r="L37" s="120" t="s">
        <v>77</v>
      </c>
      <c r="M37" s="120">
        <v>11.08</v>
      </c>
    </row>
    <row r="38" spans="1:13" ht="15" customHeight="1">
      <c r="A38" s="120" t="s">
        <v>56</v>
      </c>
      <c r="B38" s="120">
        <v>10.99</v>
      </c>
      <c r="C38" s="27">
        <f t="shared" si="2"/>
        <v>8.98</v>
      </c>
      <c r="G38" s="120" t="s">
        <v>58</v>
      </c>
      <c r="H38" s="120">
        <v>11.03</v>
      </c>
      <c r="I38" s="27">
        <f t="shared" si="1"/>
        <v>9.0599999999999987</v>
      </c>
      <c r="L38" s="120" t="s">
        <v>44</v>
      </c>
      <c r="M38" s="120">
        <v>11.05</v>
      </c>
    </row>
    <row r="39" spans="1:13" ht="15" customHeight="1">
      <c r="A39" s="120" t="s">
        <v>61</v>
      </c>
      <c r="B39" s="120">
        <v>10.96</v>
      </c>
      <c r="C39" s="27">
        <f t="shared" si="2"/>
        <v>8.9200000000000017</v>
      </c>
      <c r="G39" s="120" t="s">
        <v>39</v>
      </c>
      <c r="H39" s="120">
        <v>11.01</v>
      </c>
      <c r="I39" s="27">
        <f t="shared" si="1"/>
        <v>9.02</v>
      </c>
      <c r="L39" s="120" t="s">
        <v>56</v>
      </c>
      <c r="M39" s="120">
        <v>10.99</v>
      </c>
    </row>
    <row r="40" spans="1:13" ht="15" customHeight="1">
      <c r="A40" s="120" t="s">
        <v>60</v>
      </c>
      <c r="B40" s="120">
        <v>10.95</v>
      </c>
      <c r="C40" s="27">
        <f t="shared" si="2"/>
        <v>8.8999999999999986</v>
      </c>
      <c r="G40" s="120" t="s">
        <v>60</v>
      </c>
      <c r="H40" s="120">
        <v>11.01</v>
      </c>
      <c r="I40" s="27">
        <f t="shared" si="1"/>
        <v>9.02</v>
      </c>
      <c r="L40" s="120" t="s">
        <v>61</v>
      </c>
      <c r="M40" s="120">
        <v>10.96</v>
      </c>
    </row>
    <row r="41" spans="1:13" ht="15" customHeight="1">
      <c r="A41" s="120" t="s">
        <v>151</v>
      </c>
      <c r="B41" s="120">
        <v>10.89</v>
      </c>
      <c r="C41" s="27">
        <f t="shared" si="2"/>
        <v>8.7800000000000011</v>
      </c>
      <c r="G41" s="120" t="s">
        <v>66</v>
      </c>
      <c r="H41" s="120">
        <v>10.95</v>
      </c>
      <c r="I41" s="27">
        <f t="shared" si="1"/>
        <v>8.8999999999999986</v>
      </c>
      <c r="L41" s="120" t="s">
        <v>60</v>
      </c>
      <c r="M41" s="120">
        <v>10.95</v>
      </c>
    </row>
    <row r="42" spans="1:13" ht="15" customHeight="1">
      <c r="A42" s="120" t="s">
        <v>54</v>
      </c>
      <c r="B42" s="120">
        <v>10.81</v>
      </c>
      <c r="C42" s="27">
        <f t="shared" si="2"/>
        <v>8.620000000000001</v>
      </c>
      <c r="G42" s="120" t="s">
        <v>67</v>
      </c>
      <c r="H42" s="120">
        <v>10.94</v>
      </c>
      <c r="I42" s="27">
        <f t="shared" si="1"/>
        <v>8.879999999999999</v>
      </c>
      <c r="L42" s="120" t="s">
        <v>151</v>
      </c>
      <c r="M42" s="120">
        <v>10.89</v>
      </c>
    </row>
    <row r="43" spans="1:13" ht="15" customHeight="1">
      <c r="A43" s="120" t="s">
        <v>78</v>
      </c>
      <c r="B43" s="120">
        <v>10.79</v>
      </c>
      <c r="C43" s="27">
        <f t="shared" si="2"/>
        <v>8.5799999999999983</v>
      </c>
      <c r="G43" s="120" t="s">
        <v>74</v>
      </c>
      <c r="H43" s="120">
        <v>10.91</v>
      </c>
      <c r="I43" s="27">
        <f t="shared" si="1"/>
        <v>8.82</v>
      </c>
      <c r="L43" s="120" t="s">
        <v>54</v>
      </c>
      <c r="M43" s="120">
        <v>10.81</v>
      </c>
    </row>
    <row r="44" spans="1:13" ht="15" customHeight="1">
      <c r="A44" s="120" t="s">
        <v>74</v>
      </c>
      <c r="B44" s="120">
        <v>10.74</v>
      </c>
      <c r="C44" s="27">
        <f t="shared" si="2"/>
        <v>8.48</v>
      </c>
      <c r="G44" s="120" t="s">
        <v>78</v>
      </c>
      <c r="H44" s="120">
        <v>10.86</v>
      </c>
      <c r="I44" s="27">
        <f t="shared" si="1"/>
        <v>8.7199999999999989</v>
      </c>
      <c r="L44" s="120" t="s">
        <v>78</v>
      </c>
      <c r="M44" s="120">
        <v>10.79</v>
      </c>
    </row>
    <row r="45" spans="1:13" ht="15" customHeight="1">
      <c r="A45" s="120" t="s">
        <v>67</v>
      </c>
      <c r="B45" s="120">
        <v>10.67</v>
      </c>
      <c r="C45" s="27">
        <f t="shared" si="2"/>
        <v>8.34</v>
      </c>
      <c r="G45" s="120" t="s">
        <v>76</v>
      </c>
      <c r="H45" s="120">
        <v>10.85</v>
      </c>
      <c r="I45" s="27">
        <f t="shared" si="1"/>
        <v>8.6999999999999993</v>
      </c>
      <c r="L45" s="120" t="s">
        <v>74</v>
      </c>
      <c r="M45" s="120">
        <v>10.74</v>
      </c>
    </row>
    <row r="46" spans="1:13" ht="15" customHeight="1">
      <c r="A46" s="120" t="s">
        <v>24</v>
      </c>
      <c r="B46" s="120">
        <v>10.66</v>
      </c>
      <c r="C46" s="27">
        <f t="shared" si="2"/>
        <v>8.32</v>
      </c>
      <c r="G46" s="120" t="s">
        <v>48</v>
      </c>
      <c r="H46" s="120">
        <v>10.76</v>
      </c>
      <c r="I46" s="27">
        <f t="shared" si="1"/>
        <v>8.52</v>
      </c>
      <c r="L46" s="120" t="s">
        <v>67</v>
      </c>
      <c r="M46" s="120">
        <v>10.67</v>
      </c>
    </row>
    <row r="47" spans="1:13" ht="15" customHeight="1">
      <c r="A47" s="120" t="s">
        <v>48</v>
      </c>
      <c r="B47" s="120">
        <v>10.63</v>
      </c>
      <c r="C47" s="27">
        <f t="shared" si="2"/>
        <v>8.2600000000000016</v>
      </c>
      <c r="G47" s="120" t="s">
        <v>32</v>
      </c>
      <c r="H47" s="120">
        <v>10.61</v>
      </c>
      <c r="I47" s="27">
        <f t="shared" si="1"/>
        <v>8.2199999999999989</v>
      </c>
      <c r="L47" s="120" t="s">
        <v>24</v>
      </c>
      <c r="M47" s="120">
        <v>10.66</v>
      </c>
    </row>
    <row r="48" spans="1:13" ht="15" customHeight="1">
      <c r="A48" s="120" t="s">
        <v>79</v>
      </c>
      <c r="B48" s="120">
        <v>10.61</v>
      </c>
      <c r="C48" s="27">
        <f t="shared" si="2"/>
        <v>8.2199999999999989</v>
      </c>
      <c r="G48" s="120" t="s">
        <v>45</v>
      </c>
      <c r="H48" s="120">
        <v>10.59</v>
      </c>
      <c r="I48" s="27">
        <f t="shared" si="1"/>
        <v>8.18</v>
      </c>
      <c r="L48" s="120" t="s">
        <v>48</v>
      </c>
      <c r="M48" s="120">
        <v>10.63</v>
      </c>
    </row>
    <row r="49" spans="1:13" ht="15" customHeight="1">
      <c r="A49" s="120" t="s">
        <v>45</v>
      </c>
      <c r="B49" s="120">
        <v>10.61</v>
      </c>
      <c r="C49" s="27">
        <f t="shared" si="2"/>
        <v>8.2199999999999989</v>
      </c>
      <c r="G49" s="120" t="s">
        <v>79</v>
      </c>
      <c r="H49" s="120">
        <v>10.55</v>
      </c>
      <c r="I49" s="27">
        <f t="shared" si="1"/>
        <v>8.1000000000000014</v>
      </c>
      <c r="L49" s="120" t="s">
        <v>79</v>
      </c>
      <c r="M49" s="120">
        <v>10.61</v>
      </c>
    </row>
    <row r="50" spans="1:13" ht="15" customHeight="1">
      <c r="A50" s="120" t="s">
        <v>29</v>
      </c>
      <c r="B50" s="120">
        <v>10.56</v>
      </c>
      <c r="C50" s="27">
        <f t="shared" si="2"/>
        <v>8.120000000000001</v>
      </c>
      <c r="G50" s="120" t="s">
        <v>24</v>
      </c>
      <c r="H50" s="120">
        <v>10.55</v>
      </c>
      <c r="I50" s="27">
        <f t="shared" si="1"/>
        <v>8.1000000000000014</v>
      </c>
      <c r="L50" s="120" t="s">
        <v>45</v>
      </c>
      <c r="M50" s="120">
        <v>10.61</v>
      </c>
    </row>
    <row r="51" spans="1:13" ht="15" customHeight="1">
      <c r="A51" s="120" t="s">
        <v>32</v>
      </c>
      <c r="B51" s="120">
        <v>10.5</v>
      </c>
      <c r="C51" s="27">
        <f t="shared" si="2"/>
        <v>8</v>
      </c>
      <c r="G51" s="120" t="s">
        <v>54</v>
      </c>
      <c r="H51" s="120">
        <v>10.54</v>
      </c>
      <c r="I51" s="27">
        <f t="shared" si="1"/>
        <v>8.0799999999999983</v>
      </c>
      <c r="L51" s="120" t="s">
        <v>29</v>
      </c>
      <c r="M51" s="120">
        <v>10.56</v>
      </c>
    </row>
    <row r="52" spans="1:13" ht="15" customHeight="1">
      <c r="A52" s="120" t="s">
        <v>62</v>
      </c>
      <c r="B52" s="120">
        <v>10.4</v>
      </c>
      <c r="C52" s="27">
        <f t="shared" si="2"/>
        <v>7.8000000000000007</v>
      </c>
      <c r="G52" s="120" t="s">
        <v>57</v>
      </c>
      <c r="H52" s="120">
        <v>10.48</v>
      </c>
      <c r="I52" s="27">
        <f t="shared" si="1"/>
        <v>7.9600000000000009</v>
      </c>
      <c r="L52" s="120" t="s">
        <v>32</v>
      </c>
      <c r="M52" s="120">
        <v>10.5</v>
      </c>
    </row>
    <row r="53" spans="1:13" ht="15" customHeight="1">
      <c r="A53" s="120" t="s">
        <v>57</v>
      </c>
      <c r="B53" s="120">
        <v>10.38</v>
      </c>
      <c r="C53" s="27">
        <f t="shared" si="2"/>
        <v>7.7600000000000016</v>
      </c>
      <c r="G53" s="120" t="s">
        <v>29</v>
      </c>
      <c r="H53" s="120">
        <v>10.45</v>
      </c>
      <c r="I53" s="27">
        <f t="shared" si="1"/>
        <v>7.8999999999999986</v>
      </c>
      <c r="L53" s="120" t="s">
        <v>62</v>
      </c>
      <c r="M53" s="120">
        <v>10.4</v>
      </c>
    </row>
    <row r="54" spans="1:13" ht="15" customHeight="1">
      <c r="A54" s="120" t="s">
        <v>18</v>
      </c>
      <c r="B54" s="120">
        <v>10.28</v>
      </c>
      <c r="C54" s="27">
        <f t="shared" si="2"/>
        <v>7.5599999999999987</v>
      </c>
      <c r="G54" s="120" t="s">
        <v>18</v>
      </c>
      <c r="H54" s="120">
        <v>10.27</v>
      </c>
      <c r="I54" s="27">
        <f t="shared" si="1"/>
        <v>7.5399999999999991</v>
      </c>
      <c r="L54" s="120" t="s">
        <v>57</v>
      </c>
      <c r="M54" s="120">
        <v>10.38</v>
      </c>
    </row>
    <row r="55" spans="1:13" ht="15" customHeight="1">
      <c r="A55" s="120" t="s">
        <v>80</v>
      </c>
      <c r="B55" s="120">
        <v>10.210000000000001</v>
      </c>
      <c r="C55" s="27">
        <f t="shared" si="2"/>
        <v>7.4200000000000017</v>
      </c>
      <c r="G55" s="120" t="s">
        <v>55</v>
      </c>
      <c r="H55" s="120">
        <v>10.23</v>
      </c>
      <c r="I55" s="27">
        <f t="shared" si="1"/>
        <v>7.4600000000000009</v>
      </c>
      <c r="L55" s="120" t="s">
        <v>18</v>
      </c>
      <c r="M55" s="120">
        <v>10.28</v>
      </c>
    </row>
    <row r="56" spans="1:13" ht="15" customHeight="1">
      <c r="A56" s="120" t="s">
        <v>55</v>
      </c>
      <c r="B56" s="120">
        <v>10.199999999999999</v>
      </c>
      <c r="C56" s="27">
        <f t="shared" si="2"/>
        <v>7.3999999999999986</v>
      </c>
      <c r="G56" s="120" t="s">
        <v>80</v>
      </c>
      <c r="H56" s="120">
        <v>10.06</v>
      </c>
      <c r="I56" s="27">
        <f t="shared" si="1"/>
        <v>7.120000000000001</v>
      </c>
      <c r="L56" s="120" t="s">
        <v>80</v>
      </c>
      <c r="M56" s="120">
        <v>10.210000000000001</v>
      </c>
    </row>
    <row r="57" spans="1:13" ht="15" customHeight="1">
      <c r="A57" s="120" t="s">
        <v>63</v>
      </c>
      <c r="B57" s="120">
        <v>9.94</v>
      </c>
      <c r="C57" s="27">
        <f t="shared" si="2"/>
        <v>6.879999999999999</v>
      </c>
      <c r="G57" s="120" t="s">
        <v>63</v>
      </c>
      <c r="H57" s="120">
        <v>9.9499999999999993</v>
      </c>
      <c r="I57" s="27">
        <f t="shared" si="1"/>
        <v>6.8999999999999986</v>
      </c>
      <c r="L57" s="120" t="s">
        <v>55</v>
      </c>
      <c r="M57" s="120">
        <v>10.199999999999999</v>
      </c>
    </row>
    <row r="58" spans="1:13" ht="15" customHeight="1">
      <c r="A58" s="120" t="s">
        <v>152</v>
      </c>
      <c r="B58" s="120">
        <v>9.51</v>
      </c>
      <c r="C58" s="27">
        <f t="shared" si="2"/>
        <v>6.02</v>
      </c>
      <c r="G58" s="120" t="s">
        <v>62</v>
      </c>
      <c r="H58" s="120">
        <v>9.85</v>
      </c>
      <c r="I58" s="27">
        <f t="shared" si="1"/>
        <v>6.6999999999999993</v>
      </c>
      <c r="L58" s="120" t="s">
        <v>63</v>
      </c>
      <c r="M58" s="120">
        <v>9.94</v>
      </c>
    </row>
    <row r="59" spans="1:13" ht="15" customHeight="1">
      <c r="A59" s="120" t="s">
        <v>27</v>
      </c>
      <c r="B59" s="120">
        <v>9.4600000000000009</v>
      </c>
      <c r="C59" s="27">
        <f t="shared" si="2"/>
        <v>5.9200000000000017</v>
      </c>
      <c r="G59" s="120" t="s">
        <v>152</v>
      </c>
      <c r="H59" s="120">
        <v>9.5500000000000007</v>
      </c>
      <c r="I59" s="27">
        <f t="shared" si="1"/>
        <v>6.1000000000000014</v>
      </c>
      <c r="L59" s="120" t="s">
        <v>152</v>
      </c>
      <c r="M59" s="120">
        <v>9.51</v>
      </c>
    </row>
    <row r="60" spans="1:13" ht="15" customHeight="1">
      <c r="A60" s="120" t="s">
        <v>147</v>
      </c>
      <c r="B60" s="120">
        <v>9.3699999999999992</v>
      </c>
      <c r="C60" s="27">
        <f t="shared" si="2"/>
        <v>5.7399999999999984</v>
      </c>
      <c r="G60" s="120" t="s">
        <v>27</v>
      </c>
      <c r="H60" s="120">
        <v>9.4600000000000009</v>
      </c>
      <c r="I60" s="27">
        <f t="shared" si="1"/>
        <v>5.9200000000000017</v>
      </c>
      <c r="L60" s="120" t="s">
        <v>27</v>
      </c>
      <c r="M60" s="120">
        <v>9.4600000000000009</v>
      </c>
    </row>
    <row r="61" spans="1:13" ht="15" customHeight="1">
      <c r="A61" s="120" t="s">
        <v>72</v>
      </c>
      <c r="B61" s="120">
        <v>9.1199999999999992</v>
      </c>
      <c r="C61" s="27">
        <f t="shared" si="2"/>
        <v>5.2399999999999984</v>
      </c>
      <c r="G61" s="120" t="s">
        <v>147</v>
      </c>
      <c r="H61" s="120">
        <v>9.39</v>
      </c>
      <c r="I61" s="27">
        <f t="shared" si="1"/>
        <v>5.7800000000000011</v>
      </c>
      <c r="L61" s="120" t="s">
        <v>147</v>
      </c>
      <c r="M61" s="120">
        <v>9.3699999999999992</v>
      </c>
    </row>
    <row r="62" spans="1:13" ht="15" customHeight="1">
      <c r="A62" s="28" t="s">
        <v>51</v>
      </c>
      <c r="B62" s="28">
        <v>11</v>
      </c>
      <c r="C62" s="27">
        <f t="shared" si="2"/>
        <v>9</v>
      </c>
      <c r="E62" s="24" t="s">
        <v>154</v>
      </c>
      <c r="G62" s="120" t="s">
        <v>72</v>
      </c>
      <c r="H62" s="120">
        <v>9.11</v>
      </c>
      <c r="I62" s="27">
        <f t="shared" si="1"/>
        <v>5.2199999999999989</v>
      </c>
      <c r="L62" s="120" t="s">
        <v>72</v>
      </c>
      <c r="M62" s="120">
        <v>9.1199999999999992</v>
      </c>
    </row>
    <row r="63" spans="1:13" ht="15" customHeight="1">
      <c r="A63" s="23" t="s">
        <v>153</v>
      </c>
      <c r="B63" s="23">
        <v>11</v>
      </c>
      <c r="C63" s="27">
        <f t="shared" si="2"/>
        <v>9</v>
      </c>
      <c r="E63" s="24" t="s">
        <v>154</v>
      </c>
      <c r="G63" s="28" t="s">
        <v>51</v>
      </c>
      <c r="H63" s="28">
        <v>11</v>
      </c>
      <c r="I63" s="27">
        <f t="shared" si="1"/>
        <v>9</v>
      </c>
    </row>
    <row r="64" spans="1:13" ht="15" customHeight="1">
      <c r="G64" s="23" t="s">
        <v>153</v>
      </c>
      <c r="H64" s="23">
        <v>11</v>
      </c>
      <c r="I64" s="27">
        <f t="shared" si="1"/>
        <v>9</v>
      </c>
    </row>
  </sheetData>
  <phoneticPr fontId="1" type="noConversion"/>
  <conditionalFormatting sqref="C2:C6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D7E9-5090-E644-8EF2-4591F6E896FE}">
  <sheetPr>
    <outlinePr summaryBelow="0" summaryRight="0"/>
  </sheetPr>
  <dimension ref="A1:V65"/>
  <sheetViews>
    <sheetView topLeftCell="A38" workbookViewId="0">
      <selection activeCell="L71" sqref="L71"/>
    </sheetView>
  </sheetViews>
  <sheetFormatPr baseColWidth="10" defaultColWidth="9" defaultRowHeight="17.5" customHeight="1"/>
  <cols>
    <col min="1" max="1" width="6.33203125" style="96"/>
    <col min="2" max="2" width="16" style="96"/>
    <col min="4" max="4" width="9" style="14"/>
    <col min="5" max="5" width="20.83203125" style="96" customWidth="1"/>
  </cols>
  <sheetData>
    <row r="1" spans="1:22" ht="17.5" customHeight="1">
      <c r="A1" s="15" t="s">
        <v>0</v>
      </c>
      <c r="B1" s="16" t="s">
        <v>1</v>
      </c>
      <c r="C1" s="17" t="s">
        <v>133</v>
      </c>
      <c r="D1" s="18" t="s">
        <v>138</v>
      </c>
      <c r="E1" s="13" t="s">
        <v>139</v>
      </c>
      <c r="K1" t="s">
        <v>180</v>
      </c>
      <c r="R1" t="s">
        <v>181</v>
      </c>
    </row>
    <row r="2" spans="1:22" ht="17.5" customHeight="1">
      <c r="A2" s="114" t="s">
        <v>115</v>
      </c>
      <c r="B2" s="114" t="s">
        <v>50</v>
      </c>
      <c r="C2" s="116"/>
      <c r="D2" s="115">
        <f>(IFERROR(VLOOKUP(A2,K:N,4,0),8) + IFERROR(VLOOKUP(A2,R:U,4,0),8))/2</f>
        <v>8</v>
      </c>
      <c r="E2" s="117"/>
      <c r="K2" s="15" t="s">
        <v>0</v>
      </c>
      <c r="L2" s="16" t="s">
        <v>1</v>
      </c>
      <c r="M2" s="17" t="s">
        <v>133</v>
      </c>
      <c r="N2" s="18" t="s">
        <v>138</v>
      </c>
      <c r="O2" s="13" t="s">
        <v>139</v>
      </c>
      <c r="R2" s="124" t="s">
        <v>0</v>
      </c>
      <c r="S2" s="125" t="s">
        <v>1</v>
      </c>
      <c r="T2" s="126" t="s">
        <v>133</v>
      </c>
      <c r="U2" s="127" t="s">
        <v>138</v>
      </c>
      <c r="V2" s="115" t="s">
        <v>139</v>
      </c>
    </row>
    <row r="3" spans="1:22" ht="17.5" customHeight="1">
      <c r="A3" s="114" t="s">
        <v>59</v>
      </c>
      <c r="B3" s="114" t="s">
        <v>105</v>
      </c>
      <c r="C3" s="118"/>
      <c r="D3" s="115">
        <f t="shared" ref="D3:D64" si="0">(IFERROR(VLOOKUP(A3,K:N,4,0),8) + IFERROR(VLOOKUP(A3,R:U,4,0),8))/2</f>
        <v>8</v>
      </c>
      <c r="E3" s="115"/>
      <c r="K3" s="114" t="s">
        <v>115</v>
      </c>
      <c r="L3" s="114" t="s">
        <v>50</v>
      </c>
      <c r="M3" s="116"/>
      <c r="N3" s="115">
        <v>8</v>
      </c>
      <c r="O3" s="117"/>
      <c r="R3" s="114" t="s">
        <v>115</v>
      </c>
      <c r="S3" s="114" t="s">
        <v>50</v>
      </c>
      <c r="T3" s="116"/>
      <c r="U3" s="115">
        <v>8</v>
      </c>
      <c r="V3" s="117"/>
    </row>
    <row r="4" spans="1:22" ht="17.5" customHeight="1">
      <c r="A4" s="114" t="s">
        <v>73</v>
      </c>
      <c r="B4" s="114" t="s">
        <v>105</v>
      </c>
      <c r="C4" s="118"/>
      <c r="D4" s="115">
        <f t="shared" si="0"/>
        <v>8</v>
      </c>
      <c r="E4" s="115"/>
      <c r="K4" s="114" t="s">
        <v>59</v>
      </c>
      <c r="L4" s="114" t="s">
        <v>105</v>
      </c>
      <c r="M4" s="118">
        <v>-0.7</v>
      </c>
      <c r="N4" s="115">
        <v>8</v>
      </c>
      <c r="O4" s="115" t="s">
        <v>140</v>
      </c>
      <c r="R4" s="114" t="s">
        <v>59</v>
      </c>
      <c r="S4" s="114" t="s">
        <v>105</v>
      </c>
      <c r="T4" s="118">
        <v>-0.75</v>
      </c>
      <c r="U4" s="115">
        <v>8</v>
      </c>
      <c r="V4" s="115" t="s">
        <v>140</v>
      </c>
    </row>
    <row r="5" spans="1:22" ht="17.5" customHeight="1">
      <c r="A5" s="114" t="s">
        <v>74</v>
      </c>
      <c r="B5" s="114" t="s">
        <v>105</v>
      </c>
      <c r="C5" s="118"/>
      <c r="D5" s="115">
        <f t="shared" si="0"/>
        <v>8</v>
      </c>
      <c r="E5" s="115"/>
      <c r="K5" s="114" t="s">
        <v>73</v>
      </c>
      <c r="L5" s="114" t="s">
        <v>105</v>
      </c>
      <c r="M5" s="118">
        <v>-0.7</v>
      </c>
      <c r="N5" s="115">
        <v>8</v>
      </c>
      <c r="O5" s="115" t="s">
        <v>140</v>
      </c>
      <c r="R5" s="114" t="s">
        <v>73</v>
      </c>
      <c r="S5" s="114" t="s">
        <v>105</v>
      </c>
      <c r="T5" s="118">
        <v>-0.75</v>
      </c>
      <c r="U5" s="115">
        <v>8</v>
      </c>
      <c r="V5" s="115" t="s">
        <v>140</v>
      </c>
    </row>
    <row r="6" spans="1:22" ht="17.5" customHeight="1">
      <c r="A6" s="114" t="s">
        <v>18</v>
      </c>
      <c r="B6" s="114" t="s">
        <v>104</v>
      </c>
      <c r="C6" s="118"/>
      <c r="D6" s="115">
        <f t="shared" si="0"/>
        <v>10</v>
      </c>
      <c r="E6" s="115"/>
      <c r="K6" s="114" t="s">
        <v>74</v>
      </c>
      <c r="L6" s="114" t="s">
        <v>105</v>
      </c>
      <c r="M6" s="118">
        <v>-0.7</v>
      </c>
      <c r="N6" s="115">
        <v>8</v>
      </c>
      <c r="O6" s="115" t="s">
        <v>140</v>
      </c>
      <c r="R6" s="114" t="s">
        <v>74</v>
      </c>
      <c r="S6" s="114" t="s">
        <v>105</v>
      </c>
      <c r="T6" s="118">
        <v>-0.75</v>
      </c>
      <c r="U6" s="115">
        <v>8</v>
      </c>
      <c r="V6" s="115" t="s">
        <v>140</v>
      </c>
    </row>
    <row r="7" spans="1:22" ht="17.5" customHeight="1">
      <c r="A7" s="114" t="s">
        <v>57</v>
      </c>
      <c r="B7" s="114" t="s">
        <v>106</v>
      </c>
      <c r="C7" s="118"/>
      <c r="D7" s="115">
        <f t="shared" si="0"/>
        <v>8</v>
      </c>
      <c r="E7" s="115"/>
      <c r="K7" s="114" t="s">
        <v>18</v>
      </c>
      <c r="L7" s="114" t="s">
        <v>104</v>
      </c>
      <c r="M7" s="118">
        <v>1</v>
      </c>
      <c r="N7" s="115">
        <v>10</v>
      </c>
      <c r="O7" s="115" t="s">
        <v>150</v>
      </c>
      <c r="R7" s="114" t="s">
        <v>18</v>
      </c>
      <c r="S7" s="114" t="s">
        <v>104</v>
      </c>
      <c r="T7" s="118">
        <v>1</v>
      </c>
      <c r="U7" s="115">
        <v>10</v>
      </c>
      <c r="V7" s="115" t="s">
        <v>150</v>
      </c>
    </row>
    <row r="8" spans="1:22" ht="17.5" customHeight="1">
      <c r="A8" s="114" t="s">
        <v>65</v>
      </c>
      <c r="B8" s="114" t="s">
        <v>103</v>
      </c>
      <c r="C8" s="119"/>
      <c r="D8" s="115">
        <f t="shared" si="0"/>
        <v>9.4899999999999984</v>
      </c>
      <c r="E8" s="115"/>
      <c r="K8" s="114" t="s">
        <v>57</v>
      </c>
      <c r="L8" s="114" t="s">
        <v>106</v>
      </c>
      <c r="M8" s="118">
        <v>-0.75</v>
      </c>
      <c r="N8" s="115">
        <v>8</v>
      </c>
      <c r="O8" s="115" t="s">
        <v>141</v>
      </c>
      <c r="R8" s="114" t="s">
        <v>57</v>
      </c>
      <c r="S8" s="114" t="s">
        <v>106</v>
      </c>
      <c r="T8" s="118">
        <v>-0.62</v>
      </c>
      <c r="U8" s="115">
        <v>8</v>
      </c>
      <c r="V8" s="115" t="s">
        <v>141</v>
      </c>
    </row>
    <row r="9" spans="1:22" ht="17.5" customHeight="1">
      <c r="A9" s="114" t="s">
        <v>23</v>
      </c>
      <c r="B9" s="114" t="s">
        <v>103</v>
      </c>
      <c r="C9" s="119"/>
      <c r="D9" s="115">
        <f t="shared" si="0"/>
        <v>9.4899999999999984</v>
      </c>
      <c r="E9" s="115"/>
      <c r="K9" s="114" t="s">
        <v>65</v>
      </c>
      <c r="L9" s="114" t="s">
        <v>103</v>
      </c>
      <c r="M9" s="119">
        <v>0.38</v>
      </c>
      <c r="N9" s="115">
        <v>9.2799999999999994</v>
      </c>
      <c r="O9" s="115" t="s">
        <v>142</v>
      </c>
      <c r="R9" s="114" t="s">
        <v>65</v>
      </c>
      <c r="S9" s="114" t="s">
        <v>103</v>
      </c>
      <c r="T9" s="119">
        <v>0.45</v>
      </c>
      <c r="U9" s="115">
        <v>9.6999999999999993</v>
      </c>
      <c r="V9" s="115" t="s">
        <v>142</v>
      </c>
    </row>
    <row r="10" spans="1:22" ht="17.5" customHeight="1">
      <c r="A10" s="114" t="s">
        <v>29</v>
      </c>
      <c r="B10" s="114" t="s">
        <v>108</v>
      </c>
      <c r="C10" s="118"/>
      <c r="D10" s="115">
        <f t="shared" si="0"/>
        <v>10</v>
      </c>
      <c r="E10" s="115"/>
      <c r="K10" s="114" t="s">
        <v>23</v>
      </c>
      <c r="L10" s="114" t="s">
        <v>103</v>
      </c>
      <c r="M10" s="119">
        <v>0.38</v>
      </c>
      <c r="N10" s="115">
        <v>9.2799999999999994</v>
      </c>
      <c r="O10" s="115" t="s">
        <v>142</v>
      </c>
      <c r="R10" s="114" t="s">
        <v>23</v>
      </c>
      <c r="S10" s="114" t="s">
        <v>103</v>
      </c>
      <c r="T10" s="119">
        <v>0.45</v>
      </c>
      <c r="U10" s="115">
        <v>9.6999999999999993</v>
      </c>
      <c r="V10" s="115" t="s">
        <v>142</v>
      </c>
    </row>
    <row r="11" spans="1:22" ht="17.5" customHeight="1">
      <c r="A11" s="114" t="s">
        <v>77</v>
      </c>
      <c r="B11" s="114" t="s">
        <v>103</v>
      </c>
      <c r="C11" s="119"/>
      <c r="D11" s="115">
        <f t="shared" si="0"/>
        <v>9.4899999999999984</v>
      </c>
      <c r="E11" s="115"/>
      <c r="K11" s="114" t="s">
        <v>29</v>
      </c>
      <c r="L11" s="114" t="s">
        <v>108</v>
      </c>
      <c r="M11" s="118">
        <v>1</v>
      </c>
      <c r="N11" s="115">
        <v>10</v>
      </c>
      <c r="O11" s="115" t="s">
        <v>143</v>
      </c>
      <c r="R11" s="114" t="s">
        <v>29</v>
      </c>
      <c r="S11" s="114" t="s">
        <v>108</v>
      </c>
      <c r="T11" s="118">
        <v>1</v>
      </c>
      <c r="U11" s="115">
        <v>10</v>
      </c>
      <c r="V11" s="115" t="s">
        <v>143</v>
      </c>
    </row>
    <row r="12" spans="1:22" ht="17.5" customHeight="1">
      <c r="A12" s="114" t="s">
        <v>45</v>
      </c>
      <c r="B12" s="114" t="s">
        <v>104</v>
      </c>
      <c r="C12" s="118"/>
      <c r="D12" s="115">
        <f t="shared" si="0"/>
        <v>10</v>
      </c>
      <c r="E12" s="115"/>
      <c r="K12" s="114" t="s">
        <v>77</v>
      </c>
      <c r="L12" s="114" t="s">
        <v>103</v>
      </c>
      <c r="M12" s="119">
        <v>0.38</v>
      </c>
      <c r="N12" s="115">
        <v>9.2799999999999994</v>
      </c>
      <c r="O12" s="115" t="s">
        <v>142</v>
      </c>
      <c r="R12" s="114" t="s">
        <v>77</v>
      </c>
      <c r="S12" s="114" t="s">
        <v>103</v>
      </c>
      <c r="T12" s="119">
        <v>0.45</v>
      </c>
      <c r="U12" s="115">
        <v>9.6999999999999993</v>
      </c>
      <c r="V12" s="115" t="s">
        <v>142</v>
      </c>
    </row>
    <row r="13" spans="1:22" ht="17.5" customHeight="1">
      <c r="A13" s="114" t="s">
        <v>26</v>
      </c>
      <c r="B13" s="114" t="s">
        <v>105</v>
      </c>
      <c r="C13" s="118"/>
      <c r="D13" s="115">
        <f t="shared" si="0"/>
        <v>8</v>
      </c>
      <c r="E13" s="115"/>
      <c r="K13" s="114" t="s">
        <v>45</v>
      </c>
      <c r="L13" s="114" t="s">
        <v>104</v>
      </c>
      <c r="M13" s="118">
        <v>1</v>
      </c>
      <c r="N13" s="115">
        <v>10</v>
      </c>
      <c r="O13" s="115" t="s">
        <v>150</v>
      </c>
      <c r="R13" s="114" t="s">
        <v>45</v>
      </c>
      <c r="S13" s="114" t="s">
        <v>104</v>
      </c>
      <c r="T13" s="118">
        <v>1</v>
      </c>
      <c r="U13" s="115">
        <v>10</v>
      </c>
      <c r="V13" s="115" t="s">
        <v>150</v>
      </c>
    </row>
    <row r="14" spans="1:22" ht="17.5" customHeight="1">
      <c r="A14" s="114" t="s">
        <v>24</v>
      </c>
      <c r="B14" s="114" t="s">
        <v>104</v>
      </c>
      <c r="C14" s="118"/>
      <c r="D14" s="115">
        <f t="shared" si="0"/>
        <v>10</v>
      </c>
      <c r="E14" s="115"/>
      <c r="K14" s="114" t="s">
        <v>26</v>
      </c>
      <c r="L14" s="114" t="s">
        <v>105</v>
      </c>
      <c r="M14" s="118">
        <v>-0.7</v>
      </c>
      <c r="N14" s="115">
        <v>8</v>
      </c>
      <c r="O14" s="115" t="s">
        <v>140</v>
      </c>
      <c r="R14" s="114" t="s">
        <v>26</v>
      </c>
      <c r="S14" s="114" t="s">
        <v>105</v>
      </c>
      <c r="T14" s="118">
        <v>-0.75</v>
      </c>
      <c r="U14" s="115">
        <v>8</v>
      </c>
      <c r="V14" s="115" t="s">
        <v>140</v>
      </c>
    </row>
    <row r="15" spans="1:22" ht="17.5" customHeight="1">
      <c r="A15" s="114" t="s">
        <v>54</v>
      </c>
      <c r="B15" s="114" t="s">
        <v>108</v>
      </c>
      <c r="C15" s="118"/>
      <c r="D15" s="115">
        <f t="shared" si="0"/>
        <v>10</v>
      </c>
      <c r="E15" s="115"/>
      <c r="K15" s="114" t="s">
        <v>24</v>
      </c>
      <c r="L15" s="114" t="s">
        <v>104</v>
      </c>
      <c r="M15" s="118">
        <v>1</v>
      </c>
      <c r="N15" s="115">
        <v>10</v>
      </c>
      <c r="O15" s="115" t="s">
        <v>150</v>
      </c>
      <c r="R15" s="114" t="s">
        <v>24</v>
      </c>
      <c r="S15" s="114" t="s">
        <v>104</v>
      </c>
      <c r="T15" s="118">
        <v>1</v>
      </c>
      <c r="U15" s="115">
        <v>10</v>
      </c>
      <c r="V15" s="115" t="s">
        <v>150</v>
      </c>
    </row>
    <row r="16" spans="1:22" ht="17.5" customHeight="1">
      <c r="A16" s="114" t="s">
        <v>144</v>
      </c>
      <c r="B16" s="114" t="s">
        <v>145</v>
      </c>
      <c r="D16" s="115">
        <f t="shared" si="0"/>
        <v>8</v>
      </c>
      <c r="E16" s="117"/>
      <c r="K16" s="114" t="s">
        <v>54</v>
      </c>
      <c r="L16" s="114" t="s">
        <v>108</v>
      </c>
      <c r="M16" s="118">
        <v>1</v>
      </c>
      <c r="N16" s="115">
        <v>10</v>
      </c>
      <c r="O16" s="115" t="s">
        <v>143</v>
      </c>
      <c r="R16" s="114" t="s">
        <v>54</v>
      </c>
      <c r="S16" s="114" t="s">
        <v>108</v>
      </c>
      <c r="T16" s="118">
        <v>1</v>
      </c>
      <c r="U16" s="115">
        <v>10</v>
      </c>
      <c r="V16" s="115" t="s">
        <v>143</v>
      </c>
    </row>
    <row r="17" spans="1:22" ht="17.5" customHeight="1">
      <c r="A17" s="114" t="s">
        <v>37</v>
      </c>
      <c r="B17" s="114" t="s">
        <v>108</v>
      </c>
      <c r="C17" s="118"/>
      <c r="D17" s="115">
        <f t="shared" si="0"/>
        <v>10</v>
      </c>
      <c r="E17" s="115"/>
      <c r="K17" s="114" t="s">
        <v>144</v>
      </c>
      <c r="L17" s="114" t="s">
        <v>145</v>
      </c>
      <c r="N17" s="115">
        <v>8</v>
      </c>
      <c r="O17" s="117"/>
      <c r="R17" s="114" t="s">
        <v>144</v>
      </c>
      <c r="S17" s="114" t="s">
        <v>145</v>
      </c>
      <c r="U17" s="115">
        <v>8</v>
      </c>
      <c r="V17" s="117"/>
    </row>
    <row r="18" spans="1:22" ht="17.5" customHeight="1">
      <c r="A18" s="114" t="s">
        <v>79</v>
      </c>
      <c r="B18" s="114" t="s">
        <v>106</v>
      </c>
      <c r="C18" s="118"/>
      <c r="D18" s="115">
        <f t="shared" si="0"/>
        <v>8</v>
      </c>
      <c r="E18" s="115"/>
      <c r="K18" s="114" t="s">
        <v>37</v>
      </c>
      <c r="L18" s="114" t="s">
        <v>108</v>
      </c>
      <c r="M18" s="118">
        <v>1</v>
      </c>
      <c r="N18" s="115">
        <v>10</v>
      </c>
      <c r="O18" s="115" t="s">
        <v>143</v>
      </c>
      <c r="R18" s="114" t="s">
        <v>37</v>
      </c>
      <c r="S18" s="114" t="s">
        <v>108</v>
      </c>
      <c r="T18" s="118">
        <v>1</v>
      </c>
      <c r="U18" s="115">
        <v>10</v>
      </c>
      <c r="V18" s="115" t="s">
        <v>143</v>
      </c>
    </row>
    <row r="19" spans="1:22" ht="17.5" customHeight="1">
      <c r="A19" s="114" t="s">
        <v>67</v>
      </c>
      <c r="B19" s="114" t="s">
        <v>50</v>
      </c>
      <c r="C19" s="116"/>
      <c r="D19" s="115">
        <f t="shared" si="0"/>
        <v>8</v>
      </c>
      <c r="E19" s="117"/>
      <c r="K19" s="114" t="s">
        <v>79</v>
      </c>
      <c r="L19" s="114" t="s">
        <v>106</v>
      </c>
      <c r="M19" s="118">
        <v>-0.75</v>
      </c>
      <c r="N19" s="115">
        <v>8</v>
      </c>
      <c r="O19" s="115" t="s">
        <v>141</v>
      </c>
      <c r="R19" s="114" t="s">
        <v>79</v>
      </c>
      <c r="S19" s="114" t="s">
        <v>106</v>
      </c>
      <c r="T19" s="118">
        <v>-0.62</v>
      </c>
      <c r="U19" s="115">
        <v>8</v>
      </c>
      <c r="V19" s="115" t="s">
        <v>141</v>
      </c>
    </row>
    <row r="20" spans="1:22" ht="17.5" customHeight="1">
      <c r="A20" s="114" t="s">
        <v>61</v>
      </c>
      <c r="B20" s="114" t="s">
        <v>107</v>
      </c>
      <c r="C20" s="118"/>
      <c r="D20" s="115">
        <f t="shared" si="0"/>
        <v>10</v>
      </c>
      <c r="E20" s="115"/>
      <c r="K20" s="114" t="s">
        <v>67</v>
      </c>
      <c r="L20" s="114" t="s">
        <v>50</v>
      </c>
      <c r="M20" s="116"/>
      <c r="N20" s="115">
        <v>8</v>
      </c>
      <c r="O20" s="117"/>
      <c r="R20" s="114" t="s">
        <v>67</v>
      </c>
      <c r="S20" s="114" t="s">
        <v>50</v>
      </c>
      <c r="T20" s="116"/>
      <c r="U20" s="115">
        <v>8</v>
      </c>
      <c r="V20" s="117"/>
    </row>
    <row r="21" spans="1:22" ht="17.5" customHeight="1">
      <c r="A21" s="114" t="s">
        <v>32</v>
      </c>
      <c r="B21" s="114" t="s">
        <v>104</v>
      </c>
      <c r="C21" s="118"/>
      <c r="D21" s="115">
        <f t="shared" si="0"/>
        <v>10</v>
      </c>
      <c r="E21" s="115"/>
      <c r="K21" s="114" t="s">
        <v>61</v>
      </c>
      <c r="L21" s="114" t="s">
        <v>107</v>
      </c>
      <c r="M21" s="118">
        <v>1</v>
      </c>
      <c r="N21" s="115">
        <v>10</v>
      </c>
      <c r="O21" s="115" t="s">
        <v>146</v>
      </c>
      <c r="R21" s="114" t="s">
        <v>61</v>
      </c>
      <c r="S21" s="114" t="s">
        <v>107</v>
      </c>
      <c r="T21" s="118">
        <v>1</v>
      </c>
      <c r="U21" s="115">
        <v>10</v>
      </c>
      <c r="V21" s="115" t="s">
        <v>146</v>
      </c>
    </row>
    <row r="22" spans="1:22" ht="17.5" customHeight="1">
      <c r="A22" s="114" t="s">
        <v>38</v>
      </c>
      <c r="B22" s="114" t="s">
        <v>145</v>
      </c>
      <c r="C22" s="116"/>
      <c r="D22" s="115">
        <f t="shared" si="0"/>
        <v>8</v>
      </c>
      <c r="E22" s="117"/>
      <c r="K22" s="114" t="s">
        <v>32</v>
      </c>
      <c r="L22" s="114" t="s">
        <v>104</v>
      </c>
      <c r="M22" s="118">
        <v>1</v>
      </c>
      <c r="N22" s="115">
        <v>10</v>
      </c>
      <c r="O22" s="115" t="s">
        <v>150</v>
      </c>
      <c r="R22" s="114" t="s">
        <v>32</v>
      </c>
      <c r="S22" s="114" t="s">
        <v>104</v>
      </c>
      <c r="T22" s="118">
        <v>1</v>
      </c>
      <c r="U22" s="115">
        <v>10</v>
      </c>
      <c r="V22" s="115" t="s">
        <v>150</v>
      </c>
    </row>
    <row r="23" spans="1:22" ht="17.5" customHeight="1">
      <c r="A23" s="114" t="s">
        <v>124</v>
      </c>
      <c r="B23" s="114" t="s">
        <v>145</v>
      </c>
      <c r="C23" s="116"/>
      <c r="D23" s="115">
        <f t="shared" si="0"/>
        <v>8</v>
      </c>
      <c r="E23" s="117"/>
      <c r="K23" s="114" t="s">
        <v>38</v>
      </c>
      <c r="L23" s="114" t="s">
        <v>145</v>
      </c>
      <c r="M23" s="116"/>
      <c r="N23" s="115">
        <v>8</v>
      </c>
      <c r="O23" s="117"/>
      <c r="R23" s="114" t="s">
        <v>38</v>
      </c>
      <c r="S23" s="114" t="s">
        <v>145</v>
      </c>
      <c r="T23" s="116"/>
      <c r="U23" s="115">
        <v>8</v>
      </c>
      <c r="V23" s="117"/>
    </row>
    <row r="24" spans="1:22" ht="17.5" customHeight="1">
      <c r="A24" s="114" t="s">
        <v>34</v>
      </c>
      <c r="B24" s="114" t="s">
        <v>106</v>
      </c>
      <c r="C24" s="118"/>
      <c r="D24" s="115">
        <f t="shared" si="0"/>
        <v>8</v>
      </c>
      <c r="E24" s="115"/>
      <c r="K24" s="114" t="s">
        <v>124</v>
      </c>
      <c r="L24" s="114" t="s">
        <v>145</v>
      </c>
      <c r="M24" s="116"/>
      <c r="N24" s="115">
        <v>8</v>
      </c>
      <c r="O24" s="117"/>
      <c r="R24" s="114" t="s">
        <v>124</v>
      </c>
      <c r="S24" s="114" t="s">
        <v>145</v>
      </c>
      <c r="T24" s="116"/>
      <c r="U24" s="115">
        <v>8</v>
      </c>
      <c r="V24" s="117"/>
    </row>
    <row r="25" spans="1:22" ht="17.5" customHeight="1">
      <c r="A25" s="114" t="s">
        <v>51</v>
      </c>
      <c r="B25" s="114" t="s">
        <v>105</v>
      </c>
      <c r="C25" s="118"/>
      <c r="D25" s="115">
        <f t="shared" si="0"/>
        <v>8</v>
      </c>
      <c r="E25" s="115"/>
      <c r="K25" s="114" t="s">
        <v>34</v>
      </c>
      <c r="L25" s="114" t="s">
        <v>106</v>
      </c>
      <c r="M25" s="118">
        <v>-0.75</v>
      </c>
      <c r="N25" s="115">
        <v>8</v>
      </c>
      <c r="O25" s="115" t="s">
        <v>141</v>
      </c>
      <c r="R25" s="114" t="s">
        <v>34</v>
      </c>
      <c r="S25" s="114" t="s">
        <v>106</v>
      </c>
      <c r="T25" s="118">
        <v>-0.62</v>
      </c>
      <c r="U25" s="115">
        <v>8</v>
      </c>
      <c r="V25" s="115" t="s">
        <v>141</v>
      </c>
    </row>
    <row r="26" spans="1:22" ht="17.5" customHeight="1">
      <c r="A26" s="114" t="s">
        <v>39</v>
      </c>
      <c r="B26" s="114" t="s">
        <v>108</v>
      </c>
      <c r="C26" s="118"/>
      <c r="D26" s="115">
        <f t="shared" si="0"/>
        <v>10</v>
      </c>
      <c r="E26" s="115"/>
      <c r="K26" s="114" t="s">
        <v>51</v>
      </c>
      <c r="L26" s="114" t="s">
        <v>105</v>
      </c>
      <c r="M26" s="118">
        <v>-0.7</v>
      </c>
      <c r="N26" s="115">
        <v>8</v>
      </c>
      <c r="O26" s="115" t="s">
        <v>140</v>
      </c>
      <c r="R26" s="114" t="s">
        <v>51</v>
      </c>
      <c r="S26" s="114" t="s">
        <v>105</v>
      </c>
      <c r="T26" s="118">
        <v>-0.75</v>
      </c>
      <c r="U26" s="115">
        <v>8</v>
      </c>
      <c r="V26" s="115" t="s">
        <v>140</v>
      </c>
    </row>
    <row r="27" spans="1:22" ht="17.5" customHeight="1">
      <c r="A27" s="114" t="s">
        <v>80</v>
      </c>
      <c r="B27" s="114" t="s">
        <v>103</v>
      </c>
      <c r="C27" s="119"/>
      <c r="D27" s="115">
        <f t="shared" si="0"/>
        <v>9.4899999999999984</v>
      </c>
      <c r="E27" s="115"/>
      <c r="K27" s="114" t="s">
        <v>39</v>
      </c>
      <c r="L27" s="114" t="s">
        <v>108</v>
      </c>
      <c r="M27" s="118">
        <v>1</v>
      </c>
      <c r="N27" s="115">
        <v>10</v>
      </c>
      <c r="O27" s="115" t="s">
        <v>143</v>
      </c>
      <c r="R27" s="114" t="s">
        <v>39</v>
      </c>
      <c r="S27" s="114" t="s">
        <v>108</v>
      </c>
      <c r="T27" s="118">
        <v>1</v>
      </c>
      <c r="U27" s="115">
        <v>10</v>
      </c>
      <c r="V27" s="115" t="s">
        <v>143</v>
      </c>
    </row>
    <row r="28" spans="1:22" ht="17.5" customHeight="1">
      <c r="A28" s="114" t="s">
        <v>46</v>
      </c>
      <c r="B28" s="114" t="s">
        <v>104</v>
      </c>
      <c r="C28" s="118"/>
      <c r="D28" s="115">
        <f t="shared" si="0"/>
        <v>10</v>
      </c>
      <c r="E28" s="115"/>
      <c r="K28" s="114" t="s">
        <v>80</v>
      </c>
      <c r="L28" s="114" t="s">
        <v>103</v>
      </c>
      <c r="M28" s="119">
        <v>0.38</v>
      </c>
      <c r="N28" s="115">
        <v>9.2799999999999994</v>
      </c>
      <c r="O28" s="115" t="s">
        <v>142</v>
      </c>
      <c r="R28" s="114" t="s">
        <v>80</v>
      </c>
      <c r="S28" s="114" t="s">
        <v>103</v>
      </c>
      <c r="T28" s="119">
        <v>0.45</v>
      </c>
      <c r="U28" s="115">
        <v>9.6999999999999993</v>
      </c>
      <c r="V28" s="115" t="s">
        <v>142</v>
      </c>
    </row>
    <row r="29" spans="1:22" ht="17.5" customHeight="1">
      <c r="A29" s="114" t="s">
        <v>42</v>
      </c>
      <c r="B29" s="114" t="s">
        <v>107</v>
      </c>
      <c r="C29" s="118"/>
      <c r="D29" s="115">
        <f t="shared" si="0"/>
        <v>10</v>
      </c>
      <c r="E29" s="115"/>
      <c r="K29" s="114" t="s">
        <v>46</v>
      </c>
      <c r="L29" s="114" t="s">
        <v>104</v>
      </c>
      <c r="M29" s="118">
        <v>1</v>
      </c>
      <c r="N29" s="115">
        <v>10</v>
      </c>
      <c r="O29" s="115" t="s">
        <v>150</v>
      </c>
      <c r="R29" s="114" t="s">
        <v>46</v>
      </c>
      <c r="S29" s="114" t="s">
        <v>104</v>
      </c>
      <c r="T29" s="118">
        <v>1</v>
      </c>
      <c r="U29" s="115">
        <v>10</v>
      </c>
      <c r="V29" s="115" t="s">
        <v>150</v>
      </c>
    </row>
    <row r="30" spans="1:22" ht="17.5" customHeight="1">
      <c r="A30" s="114" t="s">
        <v>62</v>
      </c>
      <c r="B30" s="114" t="s">
        <v>105</v>
      </c>
      <c r="C30" s="118"/>
      <c r="D30" s="115">
        <f t="shared" si="0"/>
        <v>8</v>
      </c>
      <c r="E30" s="115"/>
      <c r="K30" s="114" t="s">
        <v>42</v>
      </c>
      <c r="L30" s="114" t="s">
        <v>107</v>
      </c>
      <c r="M30" s="118">
        <v>1</v>
      </c>
      <c r="N30" s="115">
        <v>10</v>
      </c>
      <c r="O30" s="115" t="s">
        <v>146</v>
      </c>
      <c r="R30" s="114" t="s">
        <v>42</v>
      </c>
      <c r="S30" s="114" t="s">
        <v>107</v>
      </c>
      <c r="T30" s="118">
        <v>1</v>
      </c>
      <c r="U30" s="115">
        <v>10</v>
      </c>
      <c r="V30" s="115" t="s">
        <v>146</v>
      </c>
    </row>
    <row r="31" spans="1:22" ht="17.5" customHeight="1">
      <c r="A31" s="114" t="s">
        <v>17</v>
      </c>
      <c r="B31" s="114" t="s">
        <v>104</v>
      </c>
      <c r="C31" s="118"/>
      <c r="D31" s="115">
        <f t="shared" si="0"/>
        <v>10</v>
      </c>
      <c r="E31" s="115"/>
      <c r="K31" s="114" t="s">
        <v>62</v>
      </c>
      <c r="L31" s="114" t="s">
        <v>105</v>
      </c>
      <c r="M31" s="118">
        <v>-0.7</v>
      </c>
      <c r="N31" s="115">
        <v>8</v>
      </c>
      <c r="O31" s="115" t="s">
        <v>140</v>
      </c>
      <c r="R31" s="114" t="s">
        <v>62</v>
      </c>
      <c r="S31" s="114" t="s">
        <v>105</v>
      </c>
      <c r="T31" s="118">
        <v>-0.75</v>
      </c>
      <c r="U31" s="115">
        <v>8</v>
      </c>
      <c r="V31" s="115" t="s">
        <v>140</v>
      </c>
    </row>
    <row r="32" spans="1:22" ht="17.5" customHeight="1">
      <c r="A32" s="114" t="s">
        <v>58</v>
      </c>
      <c r="B32" s="114" t="s">
        <v>105</v>
      </c>
      <c r="C32" s="118"/>
      <c r="D32" s="115">
        <f t="shared" si="0"/>
        <v>8</v>
      </c>
      <c r="E32" s="115"/>
      <c r="K32" s="114" t="s">
        <v>17</v>
      </c>
      <c r="L32" s="114" t="s">
        <v>104</v>
      </c>
      <c r="M32" s="118">
        <v>1</v>
      </c>
      <c r="N32" s="115">
        <v>10</v>
      </c>
      <c r="O32" s="115" t="s">
        <v>150</v>
      </c>
      <c r="R32" s="114" t="s">
        <v>17</v>
      </c>
      <c r="S32" s="114" t="s">
        <v>104</v>
      </c>
      <c r="T32" s="118">
        <v>1</v>
      </c>
      <c r="U32" s="115">
        <v>10</v>
      </c>
      <c r="V32" s="115" t="s">
        <v>150</v>
      </c>
    </row>
    <row r="33" spans="1:22" ht="17.5" customHeight="1">
      <c r="A33" s="114" t="s">
        <v>56</v>
      </c>
      <c r="B33" s="114" t="s">
        <v>106</v>
      </c>
      <c r="C33" s="118"/>
      <c r="D33" s="115">
        <f t="shared" si="0"/>
        <v>8</v>
      </c>
      <c r="E33" s="115"/>
      <c r="K33" s="114" t="s">
        <v>58</v>
      </c>
      <c r="L33" s="114" t="s">
        <v>105</v>
      </c>
      <c r="M33" s="118">
        <v>-0.7</v>
      </c>
      <c r="N33" s="115">
        <v>8</v>
      </c>
      <c r="O33" s="115" t="s">
        <v>140</v>
      </c>
      <c r="R33" s="114" t="s">
        <v>58</v>
      </c>
      <c r="S33" s="114" t="s">
        <v>105</v>
      </c>
      <c r="T33" s="118">
        <v>-0.75</v>
      </c>
      <c r="U33" s="115">
        <v>8</v>
      </c>
      <c r="V33" s="115" t="s">
        <v>140</v>
      </c>
    </row>
    <row r="34" spans="1:22" ht="17.5" customHeight="1">
      <c r="A34" s="114" t="s">
        <v>55</v>
      </c>
      <c r="B34" s="114" t="s">
        <v>106</v>
      </c>
      <c r="C34" s="118"/>
      <c r="D34" s="115">
        <f t="shared" si="0"/>
        <v>8</v>
      </c>
      <c r="E34" s="115"/>
      <c r="K34" s="114" t="s">
        <v>56</v>
      </c>
      <c r="L34" s="114" t="s">
        <v>106</v>
      </c>
      <c r="M34" s="118">
        <v>-0.75</v>
      </c>
      <c r="N34" s="115">
        <v>8</v>
      </c>
      <c r="O34" s="115" t="s">
        <v>141</v>
      </c>
      <c r="R34" s="114" t="s">
        <v>56</v>
      </c>
      <c r="S34" s="114" t="s">
        <v>106</v>
      </c>
      <c r="T34" s="118">
        <v>-0.62</v>
      </c>
      <c r="U34" s="115">
        <v>8</v>
      </c>
      <c r="V34" s="115" t="s">
        <v>141</v>
      </c>
    </row>
    <row r="35" spans="1:22" ht="17.5" customHeight="1">
      <c r="A35" s="114" t="s">
        <v>117</v>
      </c>
      <c r="B35" s="114" t="s">
        <v>50</v>
      </c>
      <c r="C35" s="116"/>
      <c r="D35" s="115">
        <f t="shared" si="0"/>
        <v>8</v>
      </c>
      <c r="E35" s="117"/>
      <c r="K35" s="114" t="s">
        <v>55</v>
      </c>
      <c r="L35" s="114" t="s">
        <v>106</v>
      </c>
      <c r="M35" s="118">
        <v>-0.75</v>
      </c>
      <c r="N35" s="115">
        <v>8</v>
      </c>
      <c r="O35" s="115" t="s">
        <v>141</v>
      </c>
      <c r="R35" s="114" t="s">
        <v>55</v>
      </c>
      <c r="S35" s="114" t="s">
        <v>106</v>
      </c>
      <c r="T35" s="118">
        <v>-0.62</v>
      </c>
      <c r="U35" s="115">
        <v>8</v>
      </c>
      <c r="V35" s="115" t="s">
        <v>141</v>
      </c>
    </row>
    <row r="36" spans="1:22" ht="17.5" customHeight="1">
      <c r="A36" s="114" t="s">
        <v>28</v>
      </c>
      <c r="B36" s="114" t="s">
        <v>104</v>
      </c>
      <c r="C36" s="118"/>
      <c r="D36" s="115">
        <f t="shared" si="0"/>
        <v>10</v>
      </c>
      <c r="E36" s="115"/>
      <c r="K36" s="114" t="s">
        <v>117</v>
      </c>
      <c r="L36" s="114" t="s">
        <v>50</v>
      </c>
      <c r="M36" s="116"/>
      <c r="N36" s="115">
        <v>8</v>
      </c>
      <c r="O36" s="117"/>
      <c r="R36" s="114" t="s">
        <v>117</v>
      </c>
      <c r="S36" s="114" t="s">
        <v>50</v>
      </c>
      <c r="T36" s="116"/>
      <c r="U36" s="115">
        <v>8</v>
      </c>
      <c r="V36" s="117"/>
    </row>
    <row r="37" spans="1:22" ht="17.5" customHeight="1">
      <c r="A37" s="114" t="s">
        <v>69</v>
      </c>
      <c r="B37" s="114" t="s">
        <v>103</v>
      </c>
      <c r="C37" s="119"/>
      <c r="D37" s="115">
        <f t="shared" si="0"/>
        <v>9.4899999999999984</v>
      </c>
      <c r="E37" s="115"/>
      <c r="K37" s="114" t="s">
        <v>28</v>
      </c>
      <c r="L37" s="114" t="s">
        <v>104</v>
      </c>
      <c r="M37" s="118">
        <v>1</v>
      </c>
      <c r="N37" s="115">
        <v>10</v>
      </c>
      <c r="O37" s="115" t="s">
        <v>150</v>
      </c>
      <c r="R37" s="114" t="s">
        <v>28</v>
      </c>
      <c r="S37" s="114" t="s">
        <v>104</v>
      </c>
      <c r="T37" s="118">
        <v>1</v>
      </c>
      <c r="U37" s="115">
        <v>10</v>
      </c>
      <c r="V37" s="115" t="s">
        <v>150</v>
      </c>
    </row>
    <row r="38" spans="1:22" ht="17.5" customHeight="1">
      <c r="A38" s="114" t="s">
        <v>31</v>
      </c>
      <c r="B38" s="114" t="s">
        <v>50</v>
      </c>
      <c r="C38" s="116"/>
      <c r="D38" s="115">
        <f t="shared" si="0"/>
        <v>8</v>
      </c>
      <c r="E38" s="117"/>
      <c r="K38" s="114" t="s">
        <v>69</v>
      </c>
      <c r="L38" s="114" t="s">
        <v>103</v>
      </c>
      <c r="M38" s="119">
        <v>0.38</v>
      </c>
      <c r="N38" s="115">
        <v>9.2799999999999994</v>
      </c>
      <c r="O38" s="115" t="s">
        <v>142</v>
      </c>
      <c r="R38" s="114" t="s">
        <v>69</v>
      </c>
      <c r="S38" s="114" t="s">
        <v>103</v>
      </c>
      <c r="T38" s="119">
        <v>0.45</v>
      </c>
      <c r="U38" s="115">
        <v>9.6999999999999993</v>
      </c>
      <c r="V38" s="115" t="s">
        <v>142</v>
      </c>
    </row>
    <row r="39" spans="1:22" ht="17.5" customHeight="1">
      <c r="A39" s="114" t="s">
        <v>116</v>
      </c>
      <c r="B39" s="114" t="s">
        <v>50</v>
      </c>
      <c r="C39" s="116"/>
      <c r="D39" s="115">
        <f t="shared" si="0"/>
        <v>8</v>
      </c>
      <c r="E39" s="117"/>
      <c r="K39" s="114" t="s">
        <v>31</v>
      </c>
      <c r="L39" s="114" t="s">
        <v>50</v>
      </c>
      <c r="M39" s="116"/>
      <c r="N39" s="115">
        <v>8</v>
      </c>
      <c r="O39" s="117"/>
      <c r="R39" s="114" t="s">
        <v>31</v>
      </c>
      <c r="S39" s="114" t="s">
        <v>50</v>
      </c>
      <c r="T39" s="116"/>
      <c r="U39" s="115">
        <v>8</v>
      </c>
      <c r="V39" s="117"/>
    </row>
    <row r="40" spans="1:22" ht="17.5" customHeight="1">
      <c r="A40" s="114" t="s">
        <v>21</v>
      </c>
      <c r="B40" s="114" t="s">
        <v>107</v>
      </c>
      <c r="C40" s="118"/>
      <c r="D40" s="115">
        <f t="shared" si="0"/>
        <v>10</v>
      </c>
      <c r="E40" s="115"/>
      <c r="K40" s="114" t="s">
        <v>116</v>
      </c>
      <c r="L40" s="114" t="s">
        <v>50</v>
      </c>
      <c r="M40" s="116"/>
      <c r="N40" s="115">
        <v>8</v>
      </c>
      <c r="O40" s="117"/>
      <c r="R40" s="114" t="s">
        <v>116</v>
      </c>
      <c r="S40" s="114" t="s">
        <v>50</v>
      </c>
      <c r="T40" s="116"/>
      <c r="U40" s="115">
        <v>8</v>
      </c>
      <c r="V40" s="117"/>
    </row>
    <row r="41" spans="1:22" ht="17.5" customHeight="1">
      <c r="A41" s="114" t="s">
        <v>64</v>
      </c>
      <c r="B41" s="114" t="s">
        <v>106</v>
      </c>
      <c r="C41" s="118"/>
      <c r="D41" s="115">
        <f t="shared" si="0"/>
        <v>8</v>
      </c>
      <c r="E41" s="115"/>
      <c r="K41" s="114" t="s">
        <v>21</v>
      </c>
      <c r="L41" s="114" t="s">
        <v>107</v>
      </c>
      <c r="M41" s="118">
        <v>1</v>
      </c>
      <c r="N41" s="115">
        <v>10</v>
      </c>
      <c r="O41" s="115" t="s">
        <v>146</v>
      </c>
      <c r="R41" s="114" t="s">
        <v>21</v>
      </c>
      <c r="S41" s="114" t="s">
        <v>107</v>
      </c>
      <c r="T41" s="118">
        <v>1</v>
      </c>
      <c r="U41" s="115">
        <v>10</v>
      </c>
      <c r="V41" s="115" t="s">
        <v>146</v>
      </c>
    </row>
    <row r="42" spans="1:22" ht="17.5" customHeight="1">
      <c r="A42" s="114" t="s">
        <v>40</v>
      </c>
      <c r="B42" s="114" t="s">
        <v>104</v>
      </c>
      <c r="C42" s="118"/>
      <c r="D42" s="115">
        <f t="shared" si="0"/>
        <v>10</v>
      </c>
      <c r="E42" s="115"/>
      <c r="K42" s="114" t="s">
        <v>64</v>
      </c>
      <c r="L42" s="114" t="s">
        <v>106</v>
      </c>
      <c r="M42" s="118">
        <v>-0.75</v>
      </c>
      <c r="N42" s="115">
        <v>8</v>
      </c>
      <c r="O42" s="115" t="s">
        <v>141</v>
      </c>
      <c r="R42" s="114" t="s">
        <v>64</v>
      </c>
      <c r="S42" s="114" t="s">
        <v>106</v>
      </c>
      <c r="T42" s="118">
        <v>-0.62</v>
      </c>
      <c r="U42" s="115">
        <v>8</v>
      </c>
      <c r="V42" s="115" t="s">
        <v>141</v>
      </c>
    </row>
    <row r="43" spans="1:22" ht="17.5" customHeight="1">
      <c r="A43" s="114" t="s">
        <v>71</v>
      </c>
      <c r="B43" s="114" t="s">
        <v>103</v>
      </c>
      <c r="C43" s="119"/>
      <c r="D43" s="115">
        <f t="shared" si="0"/>
        <v>9.4899999999999984</v>
      </c>
      <c r="E43" s="115"/>
      <c r="K43" s="114" t="s">
        <v>40</v>
      </c>
      <c r="L43" s="114" t="s">
        <v>104</v>
      </c>
      <c r="M43" s="118">
        <v>1</v>
      </c>
      <c r="N43" s="115">
        <v>10</v>
      </c>
      <c r="O43" s="115" t="s">
        <v>150</v>
      </c>
      <c r="R43" s="114" t="s">
        <v>40</v>
      </c>
      <c r="S43" s="114" t="s">
        <v>104</v>
      </c>
      <c r="T43" s="118">
        <v>1</v>
      </c>
      <c r="U43" s="115">
        <v>10</v>
      </c>
      <c r="V43" s="115" t="s">
        <v>150</v>
      </c>
    </row>
    <row r="44" spans="1:22" ht="17.5" customHeight="1">
      <c r="A44" s="114" t="s">
        <v>60</v>
      </c>
      <c r="B44" s="114" t="s">
        <v>108</v>
      </c>
      <c r="C44" s="118"/>
      <c r="D44" s="115">
        <f t="shared" si="0"/>
        <v>10</v>
      </c>
      <c r="E44" s="115"/>
      <c r="K44" s="114" t="s">
        <v>71</v>
      </c>
      <c r="L44" s="114" t="s">
        <v>103</v>
      </c>
      <c r="M44" s="119">
        <v>0.38</v>
      </c>
      <c r="N44" s="115">
        <v>9.2799999999999994</v>
      </c>
      <c r="O44" s="115" t="s">
        <v>142</v>
      </c>
      <c r="R44" s="114" t="s">
        <v>71</v>
      </c>
      <c r="S44" s="114" t="s">
        <v>103</v>
      </c>
      <c r="T44" s="119">
        <v>0.45</v>
      </c>
      <c r="U44" s="115">
        <v>9.6999999999999993</v>
      </c>
      <c r="V44" s="115" t="s">
        <v>142</v>
      </c>
    </row>
    <row r="45" spans="1:22" ht="17.5" customHeight="1">
      <c r="A45" s="114" t="s">
        <v>47</v>
      </c>
      <c r="B45" s="114" t="s">
        <v>108</v>
      </c>
      <c r="C45" s="118"/>
      <c r="D45" s="115">
        <f t="shared" si="0"/>
        <v>10</v>
      </c>
      <c r="E45" s="115"/>
      <c r="K45" s="114" t="s">
        <v>60</v>
      </c>
      <c r="L45" s="114" t="s">
        <v>108</v>
      </c>
      <c r="M45" s="118">
        <v>1</v>
      </c>
      <c r="N45" s="115">
        <v>10</v>
      </c>
      <c r="O45" s="115" t="s">
        <v>143</v>
      </c>
      <c r="R45" s="114" t="s">
        <v>60</v>
      </c>
      <c r="S45" s="114" t="s">
        <v>108</v>
      </c>
      <c r="T45" s="118">
        <v>1</v>
      </c>
      <c r="U45" s="115">
        <v>10</v>
      </c>
      <c r="V45" s="115" t="s">
        <v>143</v>
      </c>
    </row>
    <row r="46" spans="1:22" ht="17.5" customHeight="1">
      <c r="A46" s="114" t="s">
        <v>81</v>
      </c>
      <c r="B46" s="114" t="s">
        <v>103</v>
      </c>
      <c r="C46" s="119"/>
      <c r="D46" s="115">
        <f t="shared" si="0"/>
        <v>9.4899999999999984</v>
      </c>
      <c r="E46" s="115"/>
      <c r="K46" s="114" t="s">
        <v>47</v>
      </c>
      <c r="L46" s="114" t="s">
        <v>108</v>
      </c>
      <c r="M46" s="118">
        <v>1</v>
      </c>
      <c r="N46" s="115">
        <v>10</v>
      </c>
      <c r="O46" s="115" t="s">
        <v>143</v>
      </c>
      <c r="R46" s="114" t="s">
        <v>47</v>
      </c>
      <c r="S46" s="114" t="s">
        <v>108</v>
      </c>
      <c r="T46" s="118">
        <v>1</v>
      </c>
      <c r="U46" s="115">
        <v>10</v>
      </c>
      <c r="V46" s="115" t="s">
        <v>143</v>
      </c>
    </row>
    <row r="47" spans="1:22" ht="17.5" customHeight="1">
      <c r="A47" s="114" t="s">
        <v>41</v>
      </c>
      <c r="B47" s="114" t="s">
        <v>50</v>
      </c>
      <c r="C47" s="116"/>
      <c r="D47" s="115">
        <f t="shared" si="0"/>
        <v>8</v>
      </c>
      <c r="E47" s="117"/>
      <c r="K47" s="114" t="s">
        <v>81</v>
      </c>
      <c r="L47" s="114" t="s">
        <v>103</v>
      </c>
      <c r="M47" s="119">
        <v>0.38</v>
      </c>
      <c r="N47" s="115">
        <v>9.2799999999999994</v>
      </c>
      <c r="O47" s="115" t="s">
        <v>142</v>
      </c>
      <c r="R47" s="114" t="s">
        <v>81</v>
      </c>
      <c r="S47" s="114" t="s">
        <v>103</v>
      </c>
      <c r="T47" s="119">
        <v>0.45</v>
      </c>
      <c r="U47" s="115">
        <v>9.6999999999999993</v>
      </c>
      <c r="V47" s="115" t="s">
        <v>142</v>
      </c>
    </row>
    <row r="48" spans="1:22" ht="17.5" customHeight="1">
      <c r="A48" s="114" t="s">
        <v>43</v>
      </c>
      <c r="B48" s="114" t="s">
        <v>104</v>
      </c>
      <c r="C48" s="118"/>
      <c r="D48" s="115">
        <f t="shared" si="0"/>
        <v>10</v>
      </c>
      <c r="E48" s="115"/>
      <c r="K48" s="114" t="s">
        <v>41</v>
      </c>
      <c r="L48" s="114" t="s">
        <v>50</v>
      </c>
      <c r="M48" s="116"/>
      <c r="N48" s="115">
        <v>8</v>
      </c>
      <c r="O48" s="117"/>
      <c r="R48" s="114" t="s">
        <v>41</v>
      </c>
      <c r="S48" s="114" t="s">
        <v>50</v>
      </c>
      <c r="T48" s="116"/>
      <c r="U48" s="115">
        <v>8</v>
      </c>
      <c r="V48" s="117"/>
    </row>
    <row r="49" spans="1:22" ht="17.5" customHeight="1">
      <c r="A49" s="114" t="s">
        <v>66</v>
      </c>
      <c r="B49" s="114" t="s">
        <v>105</v>
      </c>
      <c r="C49" s="118"/>
      <c r="D49" s="115">
        <f t="shared" si="0"/>
        <v>8</v>
      </c>
      <c r="E49" s="115"/>
      <c r="K49" s="114" t="s">
        <v>43</v>
      </c>
      <c r="L49" s="114" t="s">
        <v>104</v>
      </c>
      <c r="M49" s="118">
        <v>1</v>
      </c>
      <c r="N49" s="115">
        <v>10</v>
      </c>
      <c r="O49" s="115" t="s">
        <v>150</v>
      </c>
      <c r="R49" s="114" t="s">
        <v>43</v>
      </c>
      <c r="S49" s="114" t="s">
        <v>104</v>
      </c>
      <c r="T49" s="118">
        <v>1</v>
      </c>
      <c r="U49" s="115">
        <v>10</v>
      </c>
      <c r="V49" s="115" t="s">
        <v>150</v>
      </c>
    </row>
    <row r="50" spans="1:22" ht="17.5" customHeight="1">
      <c r="A50" s="114" t="s">
        <v>53</v>
      </c>
      <c r="B50" s="114" t="s">
        <v>50</v>
      </c>
      <c r="C50" s="116"/>
      <c r="D50" s="115">
        <f t="shared" si="0"/>
        <v>8</v>
      </c>
      <c r="E50" s="117"/>
      <c r="K50" s="114" t="s">
        <v>66</v>
      </c>
      <c r="L50" s="114" t="s">
        <v>105</v>
      </c>
      <c r="M50" s="118">
        <v>-0.7</v>
      </c>
      <c r="N50" s="115">
        <v>8</v>
      </c>
      <c r="O50" s="115" t="s">
        <v>140</v>
      </c>
      <c r="R50" s="114" t="s">
        <v>66</v>
      </c>
      <c r="S50" s="114" t="s">
        <v>105</v>
      </c>
      <c r="T50" s="118"/>
      <c r="U50" s="115">
        <v>8</v>
      </c>
      <c r="V50" s="115" t="s">
        <v>140</v>
      </c>
    </row>
    <row r="51" spans="1:22" ht="17.5" customHeight="1">
      <c r="A51" s="114" t="s">
        <v>78</v>
      </c>
      <c r="B51" s="114" t="s">
        <v>103</v>
      </c>
      <c r="C51" s="119"/>
      <c r="D51" s="115">
        <f t="shared" si="0"/>
        <v>9.4899999999999984</v>
      </c>
      <c r="E51" s="115"/>
      <c r="K51" s="114" t="s">
        <v>53</v>
      </c>
      <c r="L51" s="114" t="s">
        <v>50</v>
      </c>
      <c r="M51" s="116"/>
      <c r="N51" s="115">
        <v>8</v>
      </c>
      <c r="O51" s="117"/>
      <c r="R51" s="114" t="s">
        <v>53</v>
      </c>
      <c r="S51" s="114" t="s">
        <v>50</v>
      </c>
      <c r="T51" s="116"/>
      <c r="U51" s="115">
        <v>8</v>
      </c>
      <c r="V51" s="117"/>
    </row>
    <row r="52" spans="1:22" ht="17.5" customHeight="1">
      <c r="A52" s="114" t="s">
        <v>48</v>
      </c>
      <c r="B52" s="114" t="s">
        <v>104</v>
      </c>
      <c r="C52" s="118"/>
      <c r="D52" s="115">
        <f t="shared" si="0"/>
        <v>10</v>
      </c>
      <c r="E52" s="115"/>
      <c r="K52" s="114" t="s">
        <v>78</v>
      </c>
      <c r="L52" s="114" t="s">
        <v>103</v>
      </c>
      <c r="M52" s="119">
        <v>0.38</v>
      </c>
      <c r="N52" s="115">
        <v>9.2799999999999994</v>
      </c>
      <c r="O52" s="115" t="s">
        <v>142</v>
      </c>
      <c r="R52" s="114" t="s">
        <v>78</v>
      </c>
      <c r="S52" s="114" t="s">
        <v>103</v>
      </c>
      <c r="T52" s="119">
        <v>0.45</v>
      </c>
      <c r="U52" s="115">
        <v>9.6999999999999993</v>
      </c>
      <c r="V52" s="115" t="s">
        <v>142</v>
      </c>
    </row>
    <row r="53" spans="1:22" ht="17.5" customHeight="1">
      <c r="A53" s="114" t="s">
        <v>70</v>
      </c>
      <c r="B53" s="114" t="s">
        <v>106</v>
      </c>
      <c r="C53" s="118"/>
      <c r="D53" s="115">
        <f t="shared" si="0"/>
        <v>8</v>
      </c>
      <c r="E53" s="115"/>
      <c r="K53" s="114" t="s">
        <v>48</v>
      </c>
      <c r="L53" s="114" t="s">
        <v>104</v>
      </c>
      <c r="M53" s="118">
        <v>1</v>
      </c>
      <c r="N53" s="115">
        <v>10</v>
      </c>
      <c r="O53" s="115" t="s">
        <v>150</v>
      </c>
      <c r="R53" s="114" t="s">
        <v>48</v>
      </c>
      <c r="S53" s="114" t="s">
        <v>104</v>
      </c>
      <c r="T53" s="118">
        <v>1</v>
      </c>
      <c r="U53" s="115">
        <v>10</v>
      </c>
      <c r="V53" s="115" t="s">
        <v>150</v>
      </c>
    </row>
    <row r="54" spans="1:22" ht="17.5" customHeight="1">
      <c r="A54" s="114" t="s">
        <v>13</v>
      </c>
      <c r="B54" s="114" t="s">
        <v>107</v>
      </c>
      <c r="C54" s="118"/>
      <c r="D54" s="115">
        <f t="shared" si="0"/>
        <v>10</v>
      </c>
      <c r="E54" s="115"/>
      <c r="K54" s="114" t="s">
        <v>70</v>
      </c>
      <c r="L54" s="114" t="s">
        <v>106</v>
      </c>
      <c r="M54" s="118">
        <v>-0.75</v>
      </c>
      <c r="N54" s="115">
        <v>8</v>
      </c>
      <c r="O54" s="115" t="s">
        <v>141</v>
      </c>
      <c r="R54" s="114" t="s">
        <v>70</v>
      </c>
      <c r="S54" s="114" t="s">
        <v>106</v>
      </c>
      <c r="T54" s="118">
        <v>-0.62</v>
      </c>
      <c r="U54" s="115">
        <v>8</v>
      </c>
      <c r="V54" s="115" t="s">
        <v>141</v>
      </c>
    </row>
    <row r="55" spans="1:22" ht="17.5" customHeight="1">
      <c r="A55" s="114" t="s">
        <v>76</v>
      </c>
      <c r="B55" s="114" t="s">
        <v>103</v>
      </c>
      <c r="C55" s="119"/>
      <c r="D55" s="115">
        <f t="shared" si="0"/>
        <v>9.4899999999999984</v>
      </c>
      <c r="E55" s="115"/>
      <c r="K55" s="114" t="s">
        <v>13</v>
      </c>
      <c r="L55" s="114" t="s">
        <v>107</v>
      </c>
      <c r="M55" s="118">
        <v>1</v>
      </c>
      <c r="N55" s="115">
        <v>10</v>
      </c>
      <c r="O55" s="115" t="s">
        <v>146</v>
      </c>
      <c r="R55" s="114" t="s">
        <v>13</v>
      </c>
      <c r="S55" s="114" t="s">
        <v>107</v>
      </c>
      <c r="T55" s="118">
        <v>1</v>
      </c>
      <c r="U55" s="115">
        <v>10</v>
      </c>
      <c r="V55" s="115" t="s">
        <v>146</v>
      </c>
    </row>
    <row r="56" spans="1:22" ht="17.5" customHeight="1">
      <c r="A56" s="114" t="s">
        <v>72</v>
      </c>
      <c r="B56" s="114" t="s">
        <v>106</v>
      </c>
      <c r="C56" s="118"/>
      <c r="D56" s="115">
        <f t="shared" si="0"/>
        <v>8</v>
      </c>
      <c r="E56" s="115"/>
      <c r="K56" s="114" t="s">
        <v>76</v>
      </c>
      <c r="L56" s="114" t="s">
        <v>103</v>
      </c>
      <c r="M56" s="119">
        <v>0.38</v>
      </c>
      <c r="N56" s="115">
        <v>9.2799999999999994</v>
      </c>
      <c r="O56" s="115" t="s">
        <v>142</v>
      </c>
      <c r="R56" s="114" t="s">
        <v>76</v>
      </c>
      <c r="S56" s="114" t="s">
        <v>103</v>
      </c>
      <c r="T56" s="119">
        <v>0.45</v>
      </c>
      <c r="U56" s="115">
        <v>9.6999999999999993</v>
      </c>
      <c r="V56" s="115" t="s">
        <v>142</v>
      </c>
    </row>
    <row r="57" spans="1:22" ht="17.5" customHeight="1">
      <c r="A57" s="114" t="s">
        <v>49</v>
      </c>
      <c r="B57" s="114" t="s">
        <v>107</v>
      </c>
      <c r="C57" s="118"/>
      <c r="D57" s="115">
        <f t="shared" si="0"/>
        <v>10</v>
      </c>
      <c r="E57" s="115"/>
      <c r="K57" s="114" t="s">
        <v>72</v>
      </c>
      <c r="L57" s="114" t="s">
        <v>106</v>
      </c>
      <c r="M57" s="118">
        <v>-0.75</v>
      </c>
      <c r="N57" s="115">
        <v>8</v>
      </c>
      <c r="O57" s="115" t="s">
        <v>141</v>
      </c>
      <c r="R57" s="114" t="s">
        <v>72</v>
      </c>
      <c r="S57" s="114" t="s">
        <v>106</v>
      </c>
      <c r="T57" s="118">
        <v>-0.62</v>
      </c>
      <c r="U57" s="115">
        <v>8</v>
      </c>
      <c r="V57" s="115" t="s">
        <v>141</v>
      </c>
    </row>
    <row r="58" spans="1:22" ht="17.5" customHeight="1">
      <c r="A58" s="114" t="s">
        <v>27</v>
      </c>
      <c r="B58" s="114" t="s">
        <v>104</v>
      </c>
      <c r="C58" s="118"/>
      <c r="D58" s="115">
        <f t="shared" si="0"/>
        <v>10</v>
      </c>
      <c r="E58" s="115"/>
      <c r="K58" s="114" t="s">
        <v>49</v>
      </c>
      <c r="L58" s="114" t="s">
        <v>107</v>
      </c>
      <c r="M58" s="118">
        <v>1</v>
      </c>
      <c r="N58" s="115">
        <v>10</v>
      </c>
      <c r="O58" s="115" t="s">
        <v>146</v>
      </c>
      <c r="R58" s="114" t="s">
        <v>49</v>
      </c>
      <c r="S58" s="114" t="s">
        <v>107</v>
      </c>
      <c r="T58" s="118">
        <v>1</v>
      </c>
      <c r="U58" s="115">
        <v>10</v>
      </c>
      <c r="V58" s="115" t="s">
        <v>146</v>
      </c>
    </row>
    <row r="59" spans="1:22" ht="17.5" customHeight="1">
      <c r="A59" s="114" t="s">
        <v>44</v>
      </c>
      <c r="B59" s="114" t="s">
        <v>105</v>
      </c>
      <c r="C59" s="118"/>
      <c r="D59" s="115">
        <f t="shared" si="0"/>
        <v>8</v>
      </c>
      <c r="E59" s="115"/>
      <c r="K59" s="114" t="s">
        <v>27</v>
      </c>
      <c r="L59" s="114" t="s">
        <v>104</v>
      </c>
      <c r="M59" s="118">
        <v>1</v>
      </c>
      <c r="N59" s="115">
        <v>10</v>
      </c>
      <c r="O59" s="115" t="s">
        <v>150</v>
      </c>
      <c r="R59" s="114" t="s">
        <v>27</v>
      </c>
      <c r="S59" s="114" t="s">
        <v>104</v>
      </c>
      <c r="T59" s="118">
        <v>1</v>
      </c>
      <c r="U59" s="115">
        <v>10</v>
      </c>
      <c r="V59" s="115" t="s">
        <v>150</v>
      </c>
    </row>
    <row r="60" spans="1:22" ht="17.5" customHeight="1">
      <c r="A60" s="114" t="s">
        <v>63</v>
      </c>
      <c r="B60" s="114" t="s">
        <v>105</v>
      </c>
      <c r="C60" s="118"/>
      <c r="D60" s="115">
        <f t="shared" si="0"/>
        <v>8</v>
      </c>
      <c r="E60" s="115"/>
      <c r="K60" s="114" t="s">
        <v>44</v>
      </c>
      <c r="L60" s="114" t="s">
        <v>105</v>
      </c>
      <c r="M60" s="118">
        <v>-0.7</v>
      </c>
      <c r="N60" s="115">
        <v>8</v>
      </c>
      <c r="O60" s="115" t="s">
        <v>140</v>
      </c>
      <c r="R60" s="114" t="s">
        <v>44</v>
      </c>
      <c r="S60" s="114" t="s">
        <v>105</v>
      </c>
      <c r="T60" s="118">
        <v>-0.75</v>
      </c>
      <c r="U60" s="115">
        <v>8</v>
      </c>
      <c r="V60" s="115" t="s">
        <v>140</v>
      </c>
    </row>
    <row r="61" spans="1:22" ht="17.5" customHeight="1">
      <c r="A61" s="114" t="s">
        <v>147</v>
      </c>
      <c r="B61" s="114" t="s">
        <v>145</v>
      </c>
      <c r="C61" s="116"/>
      <c r="D61" s="115">
        <f t="shared" si="0"/>
        <v>8</v>
      </c>
      <c r="E61" s="117"/>
      <c r="K61" s="114" t="s">
        <v>63</v>
      </c>
      <c r="L61" s="114" t="s">
        <v>105</v>
      </c>
      <c r="M61" s="118">
        <v>-0.7</v>
      </c>
      <c r="N61" s="115">
        <v>8</v>
      </c>
      <c r="O61" s="115" t="s">
        <v>140</v>
      </c>
      <c r="R61" s="114" t="s">
        <v>63</v>
      </c>
      <c r="S61" s="114" t="s">
        <v>105</v>
      </c>
      <c r="T61" s="118">
        <v>-0.75</v>
      </c>
      <c r="U61" s="115">
        <v>8</v>
      </c>
      <c r="V61" s="115" t="s">
        <v>140</v>
      </c>
    </row>
    <row r="62" spans="1:22" ht="17.5" customHeight="1">
      <c r="A62" s="19" t="s">
        <v>149</v>
      </c>
      <c r="B62" s="19"/>
      <c r="C62" s="22"/>
      <c r="D62" s="115">
        <f t="shared" si="0"/>
        <v>8</v>
      </c>
      <c r="E62" s="13"/>
      <c r="K62" s="114" t="s">
        <v>147</v>
      </c>
      <c r="L62" s="114" t="s">
        <v>145</v>
      </c>
      <c r="M62" s="116"/>
      <c r="N62" s="115">
        <v>8</v>
      </c>
      <c r="O62" s="117"/>
      <c r="R62" s="114" t="s">
        <v>147</v>
      </c>
      <c r="S62" s="114" t="s">
        <v>145</v>
      </c>
      <c r="T62" s="116"/>
      <c r="U62" s="115">
        <v>8</v>
      </c>
      <c r="V62" s="117"/>
    </row>
    <row r="63" spans="1:22" ht="17.5" customHeight="1">
      <c r="A63" s="19" t="s">
        <v>155</v>
      </c>
      <c r="B63" s="19"/>
      <c r="C63" s="20"/>
      <c r="D63" s="115">
        <f t="shared" si="0"/>
        <v>8</v>
      </c>
      <c r="K63" s="48" t="s">
        <v>149</v>
      </c>
      <c r="L63" s="48"/>
      <c r="M63" s="22"/>
      <c r="N63" s="21">
        <v>8</v>
      </c>
      <c r="O63" s="13"/>
      <c r="P63" t="s">
        <v>156</v>
      </c>
      <c r="R63" s="48" t="s">
        <v>178</v>
      </c>
      <c r="S63" s="114" t="s">
        <v>103</v>
      </c>
      <c r="T63" s="20"/>
      <c r="U63" s="115">
        <f t="shared" ref="U63" si="1">(IFERROR(VLOOKUP(R63,AB:AE,4,0),8) + IFERROR(VLOOKUP(R63,AI:AL,4,0),8))/2</f>
        <v>8</v>
      </c>
    </row>
    <row r="64" spans="1:22" ht="17.5" customHeight="1">
      <c r="A64" s="48" t="s">
        <v>178</v>
      </c>
      <c r="B64" s="48"/>
      <c r="C64" s="20"/>
      <c r="D64" s="115">
        <f t="shared" si="0"/>
        <v>8</v>
      </c>
      <c r="K64" s="48" t="s">
        <v>155</v>
      </c>
      <c r="L64" s="48"/>
      <c r="M64" s="20"/>
      <c r="N64" s="21">
        <v>8</v>
      </c>
      <c r="O64" s="96"/>
      <c r="P64" t="s">
        <v>156</v>
      </c>
    </row>
    <row r="65" spans="11:14" ht="17.5" customHeight="1">
      <c r="K65" s="48" t="s">
        <v>178</v>
      </c>
      <c r="L65" s="114" t="s">
        <v>103</v>
      </c>
      <c r="M65" s="20"/>
      <c r="N65" s="115">
        <f t="shared" ref="N65" si="2">(IFERROR(VLOOKUP(K65,U:X,4,0),8) + IFERROR(VLOOKUP(K65,AB:AE,4,0),8))/2</f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汇总</vt:lpstr>
      <vt:lpstr>数据透视表</vt:lpstr>
      <vt:lpstr>OHT执行（30%）</vt:lpstr>
      <vt:lpstr>OHT-车厢数据</vt:lpstr>
      <vt:lpstr>OHT-站台数据</vt:lpstr>
      <vt:lpstr>保障-(10%)</vt:lpstr>
      <vt:lpstr>影响力-(10%)</vt:lpstr>
      <vt:lpstr>努力度(10%)</vt:lpstr>
      <vt:lpstr>系统价值分（5%）</vt:lpstr>
      <vt:lpstr>汇总!_FilterDatabase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Microsoft Office User</cp:lastModifiedBy>
  <dcterms:created xsi:type="dcterms:W3CDTF">2006-09-16T00:00:00Z</dcterms:created>
  <dcterms:modified xsi:type="dcterms:W3CDTF">2026-02-04T14:02:43Z</dcterms:modified>
</cp:coreProperties>
</file>